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
    </mc:Choice>
  </mc:AlternateContent>
  <xr:revisionPtr revIDLastSave="0" documentId="13_ncr:1_{E93B80F9-B325-4CFB-815D-769D4C2BD12A}" xr6:coauthVersionLast="47" xr6:coauthVersionMax="47" xr10:uidLastSave="{00000000-0000-0000-0000-000000000000}"/>
  <bookViews>
    <workbookView xWindow="-110" yWindow="-110" windowWidth="19420" windowHeight="10420" activeTab="3" xr2:uid="{00000000-000D-0000-FFFF-FFFF00000000}"/>
  </bookViews>
  <sheets>
    <sheet name="Data" sheetId="2" r:id="rId1"/>
    <sheet name="Info" sheetId="3" r:id="rId2"/>
    <sheet name="Sales Data" sheetId="1" r:id="rId3"/>
    <sheet name=" Dashboard" sheetId="8" r:id="rId4"/>
    <sheet name=" Analysis" sheetId="6" r:id="rId5"/>
  </sheets>
  <definedNames>
    <definedName name="Slicer_Age_Group">#N/A</definedName>
    <definedName name="Slicer_Country">#N/A</definedName>
    <definedName name="Slicer_Customaleer_Gender">#N/A</definedName>
    <definedName name="Slicer_Sub_Category">#N/A</definedName>
  </definedNames>
  <calcPr calcId="191028"/>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49" i="8" l="1"/>
  <c r="K49" i="8"/>
  <c r="J49" i="8"/>
  <c r="I49" i="8"/>
  <c r="R2"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R426" i="1"/>
  <c r="R714" i="1"/>
  <c r="R746" i="1"/>
  <c r="Q550" i="1"/>
  <c r="R550" i="1" s="1"/>
  <c r="P3" i="1"/>
  <c r="P2"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O2" i="1"/>
  <c r="O3" i="1"/>
  <c r="Q3" i="1" s="1"/>
  <c r="R3" i="1" s="1"/>
  <c r="O4" i="1"/>
  <c r="Q4" i="1" s="1"/>
  <c r="R4" i="1" s="1"/>
  <c r="O5" i="1"/>
  <c r="Q5" i="1" s="1"/>
  <c r="R5" i="1" s="1"/>
  <c r="O6" i="1"/>
  <c r="Q6" i="1" s="1"/>
  <c r="R6" i="1" s="1"/>
  <c r="O7" i="1"/>
  <c r="Q7" i="1" s="1"/>
  <c r="R7" i="1" s="1"/>
  <c r="O8" i="1"/>
  <c r="Q8" i="1" s="1"/>
  <c r="R8" i="1" s="1"/>
  <c r="O9" i="1"/>
  <c r="Q9" i="1" s="1"/>
  <c r="R9" i="1" s="1"/>
  <c r="O10" i="1"/>
  <c r="Q10" i="1" s="1"/>
  <c r="R10" i="1" s="1"/>
  <c r="O11" i="1"/>
  <c r="Q11" i="1" s="1"/>
  <c r="R11" i="1" s="1"/>
  <c r="O12" i="1"/>
  <c r="Q12" i="1" s="1"/>
  <c r="R12" i="1" s="1"/>
  <c r="O13" i="1"/>
  <c r="Q13" i="1" s="1"/>
  <c r="R13" i="1" s="1"/>
  <c r="O14" i="1"/>
  <c r="Q14" i="1" s="1"/>
  <c r="R14" i="1" s="1"/>
  <c r="O15" i="1"/>
  <c r="Q15" i="1" s="1"/>
  <c r="R15" i="1" s="1"/>
  <c r="O16" i="1"/>
  <c r="Q16" i="1" s="1"/>
  <c r="R16" i="1" s="1"/>
  <c r="O17" i="1"/>
  <c r="Q17" i="1" s="1"/>
  <c r="R17" i="1" s="1"/>
  <c r="O18" i="1"/>
  <c r="Q18" i="1" s="1"/>
  <c r="R18" i="1" s="1"/>
  <c r="O19" i="1"/>
  <c r="Q19" i="1" s="1"/>
  <c r="R19" i="1" s="1"/>
  <c r="O20" i="1"/>
  <c r="Q20" i="1" s="1"/>
  <c r="R20" i="1" s="1"/>
  <c r="O21" i="1"/>
  <c r="Q21" i="1" s="1"/>
  <c r="R21" i="1" s="1"/>
  <c r="O22" i="1"/>
  <c r="Q22" i="1" s="1"/>
  <c r="R22" i="1" s="1"/>
  <c r="O23" i="1"/>
  <c r="Q23" i="1" s="1"/>
  <c r="R23" i="1" s="1"/>
  <c r="O24" i="1"/>
  <c r="Q24" i="1" s="1"/>
  <c r="R24" i="1" s="1"/>
  <c r="O25" i="1"/>
  <c r="Q25" i="1" s="1"/>
  <c r="R25" i="1" s="1"/>
  <c r="O26" i="1"/>
  <c r="Q26" i="1" s="1"/>
  <c r="R26" i="1" s="1"/>
  <c r="O27" i="1"/>
  <c r="Q27" i="1" s="1"/>
  <c r="R27" i="1" s="1"/>
  <c r="O28" i="1"/>
  <c r="Q28" i="1" s="1"/>
  <c r="R28" i="1" s="1"/>
  <c r="O29" i="1"/>
  <c r="Q29" i="1" s="1"/>
  <c r="R29" i="1" s="1"/>
  <c r="O30" i="1"/>
  <c r="Q30" i="1" s="1"/>
  <c r="R30" i="1" s="1"/>
  <c r="O31" i="1"/>
  <c r="Q31" i="1" s="1"/>
  <c r="R31" i="1" s="1"/>
  <c r="O32" i="1"/>
  <c r="Q32" i="1" s="1"/>
  <c r="R32" i="1" s="1"/>
  <c r="O33" i="1"/>
  <c r="Q33" i="1" s="1"/>
  <c r="R33" i="1" s="1"/>
  <c r="O34" i="1"/>
  <c r="Q34" i="1" s="1"/>
  <c r="R34" i="1" s="1"/>
  <c r="O35" i="1"/>
  <c r="Q35" i="1" s="1"/>
  <c r="R35" i="1" s="1"/>
  <c r="O36" i="1"/>
  <c r="Q36" i="1" s="1"/>
  <c r="R36" i="1" s="1"/>
  <c r="O37" i="1"/>
  <c r="Q37" i="1" s="1"/>
  <c r="R37" i="1" s="1"/>
  <c r="O38" i="1"/>
  <c r="Q38" i="1" s="1"/>
  <c r="R38" i="1" s="1"/>
  <c r="O39" i="1"/>
  <c r="Q39" i="1" s="1"/>
  <c r="R39" i="1" s="1"/>
  <c r="O40" i="1"/>
  <c r="Q40" i="1" s="1"/>
  <c r="R40" i="1" s="1"/>
  <c r="O41" i="1"/>
  <c r="Q41" i="1" s="1"/>
  <c r="R41" i="1" s="1"/>
  <c r="O42" i="1"/>
  <c r="Q42" i="1" s="1"/>
  <c r="R42" i="1" s="1"/>
  <c r="O43" i="1"/>
  <c r="Q43" i="1" s="1"/>
  <c r="R43" i="1" s="1"/>
  <c r="O44" i="1"/>
  <c r="Q44" i="1" s="1"/>
  <c r="R44" i="1" s="1"/>
  <c r="O45" i="1"/>
  <c r="Q45" i="1" s="1"/>
  <c r="R45" i="1" s="1"/>
  <c r="O46" i="1"/>
  <c r="Q46" i="1" s="1"/>
  <c r="R46" i="1" s="1"/>
  <c r="O47" i="1"/>
  <c r="Q47" i="1" s="1"/>
  <c r="R47" i="1" s="1"/>
  <c r="O48" i="1"/>
  <c r="Q48" i="1" s="1"/>
  <c r="R48" i="1" s="1"/>
  <c r="O49" i="1"/>
  <c r="Q49" i="1" s="1"/>
  <c r="R49" i="1" s="1"/>
  <c r="O50" i="1"/>
  <c r="Q50" i="1" s="1"/>
  <c r="R50" i="1" s="1"/>
  <c r="O51" i="1"/>
  <c r="Q51" i="1" s="1"/>
  <c r="R51" i="1" s="1"/>
  <c r="O52" i="1"/>
  <c r="Q52" i="1" s="1"/>
  <c r="R52" i="1" s="1"/>
  <c r="O53" i="1"/>
  <c r="Q53" i="1" s="1"/>
  <c r="R53" i="1" s="1"/>
  <c r="O54" i="1"/>
  <c r="Q54" i="1" s="1"/>
  <c r="R54" i="1" s="1"/>
  <c r="O55" i="1"/>
  <c r="Q55" i="1" s="1"/>
  <c r="R55" i="1" s="1"/>
  <c r="O56" i="1"/>
  <c r="Q56" i="1" s="1"/>
  <c r="R56" i="1" s="1"/>
  <c r="O57" i="1"/>
  <c r="Q57" i="1" s="1"/>
  <c r="R57" i="1" s="1"/>
  <c r="O58" i="1"/>
  <c r="Q58" i="1" s="1"/>
  <c r="R58" i="1" s="1"/>
  <c r="O59" i="1"/>
  <c r="Q59" i="1" s="1"/>
  <c r="R59" i="1" s="1"/>
  <c r="O60" i="1"/>
  <c r="Q60" i="1" s="1"/>
  <c r="R60" i="1" s="1"/>
  <c r="O61" i="1"/>
  <c r="Q61" i="1" s="1"/>
  <c r="R61" i="1" s="1"/>
  <c r="O62" i="1"/>
  <c r="Q62" i="1" s="1"/>
  <c r="R62" i="1" s="1"/>
  <c r="O63" i="1"/>
  <c r="Q63" i="1" s="1"/>
  <c r="R63" i="1" s="1"/>
  <c r="O64" i="1"/>
  <c r="Q64" i="1" s="1"/>
  <c r="R64" i="1" s="1"/>
  <c r="O65" i="1"/>
  <c r="Q65" i="1" s="1"/>
  <c r="R65" i="1" s="1"/>
  <c r="O66" i="1"/>
  <c r="Q66" i="1" s="1"/>
  <c r="R66" i="1" s="1"/>
  <c r="O67" i="1"/>
  <c r="Q67" i="1" s="1"/>
  <c r="R67" i="1" s="1"/>
  <c r="O68" i="1"/>
  <c r="Q68" i="1" s="1"/>
  <c r="R68" i="1" s="1"/>
  <c r="O69" i="1"/>
  <c r="Q69" i="1" s="1"/>
  <c r="R69" i="1" s="1"/>
  <c r="O70" i="1"/>
  <c r="Q70" i="1" s="1"/>
  <c r="R70" i="1" s="1"/>
  <c r="O71" i="1"/>
  <c r="Q71" i="1" s="1"/>
  <c r="R71" i="1" s="1"/>
  <c r="O72" i="1"/>
  <c r="Q72" i="1" s="1"/>
  <c r="R72" i="1" s="1"/>
  <c r="O73" i="1"/>
  <c r="Q73" i="1" s="1"/>
  <c r="R73" i="1" s="1"/>
  <c r="O74" i="1"/>
  <c r="Q74" i="1" s="1"/>
  <c r="R74" i="1" s="1"/>
  <c r="O75" i="1"/>
  <c r="Q75" i="1" s="1"/>
  <c r="R75" i="1" s="1"/>
  <c r="O76" i="1"/>
  <c r="Q76" i="1" s="1"/>
  <c r="R76" i="1" s="1"/>
  <c r="O77" i="1"/>
  <c r="Q77" i="1" s="1"/>
  <c r="R77" i="1" s="1"/>
  <c r="O78" i="1"/>
  <c r="Q78" i="1" s="1"/>
  <c r="R78" i="1" s="1"/>
  <c r="O79" i="1"/>
  <c r="Q79" i="1" s="1"/>
  <c r="R79" i="1" s="1"/>
  <c r="O80" i="1"/>
  <c r="Q80" i="1" s="1"/>
  <c r="R80" i="1" s="1"/>
  <c r="O81" i="1"/>
  <c r="Q81" i="1" s="1"/>
  <c r="R81" i="1" s="1"/>
  <c r="O82" i="1"/>
  <c r="Q82" i="1" s="1"/>
  <c r="R82" i="1" s="1"/>
  <c r="O83" i="1"/>
  <c r="Q83" i="1" s="1"/>
  <c r="R83" i="1" s="1"/>
  <c r="O84" i="1"/>
  <c r="Q84" i="1" s="1"/>
  <c r="R84" i="1" s="1"/>
  <c r="O85" i="1"/>
  <c r="Q85" i="1" s="1"/>
  <c r="R85" i="1" s="1"/>
  <c r="O86" i="1"/>
  <c r="Q86" i="1" s="1"/>
  <c r="R86" i="1" s="1"/>
  <c r="O87" i="1"/>
  <c r="Q87" i="1" s="1"/>
  <c r="R87" i="1" s="1"/>
  <c r="O88" i="1"/>
  <c r="Q88" i="1" s="1"/>
  <c r="R88" i="1" s="1"/>
  <c r="O89" i="1"/>
  <c r="Q89" i="1" s="1"/>
  <c r="R89" i="1" s="1"/>
  <c r="O90" i="1"/>
  <c r="Q90" i="1" s="1"/>
  <c r="R90" i="1" s="1"/>
  <c r="O91" i="1"/>
  <c r="Q91" i="1" s="1"/>
  <c r="R91" i="1" s="1"/>
  <c r="O92" i="1"/>
  <c r="Q92" i="1" s="1"/>
  <c r="R92" i="1" s="1"/>
  <c r="O93" i="1"/>
  <c r="Q93" i="1" s="1"/>
  <c r="R93" i="1" s="1"/>
  <c r="O94" i="1"/>
  <c r="Q94" i="1" s="1"/>
  <c r="R94" i="1" s="1"/>
  <c r="O95" i="1"/>
  <c r="Q95" i="1" s="1"/>
  <c r="R95" i="1" s="1"/>
  <c r="O96" i="1"/>
  <c r="Q96" i="1" s="1"/>
  <c r="R96" i="1" s="1"/>
  <c r="O97" i="1"/>
  <c r="Q97" i="1" s="1"/>
  <c r="R97" i="1" s="1"/>
  <c r="O98" i="1"/>
  <c r="Q98" i="1" s="1"/>
  <c r="R98" i="1" s="1"/>
  <c r="O99" i="1"/>
  <c r="Q99" i="1" s="1"/>
  <c r="R99" i="1" s="1"/>
  <c r="O100" i="1"/>
  <c r="Q100" i="1" s="1"/>
  <c r="R100" i="1" s="1"/>
  <c r="O101" i="1"/>
  <c r="Q101" i="1" s="1"/>
  <c r="R101" i="1" s="1"/>
  <c r="O102" i="1"/>
  <c r="Q102" i="1" s="1"/>
  <c r="R102" i="1" s="1"/>
  <c r="O103" i="1"/>
  <c r="Q103" i="1" s="1"/>
  <c r="R103" i="1" s="1"/>
  <c r="O104" i="1"/>
  <c r="Q104" i="1" s="1"/>
  <c r="R104" i="1" s="1"/>
  <c r="O105" i="1"/>
  <c r="Q105" i="1" s="1"/>
  <c r="R105" i="1" s="1"/>
  <c r="O106" i="1"/>
  <c r="Q106" i="1" s="1"/>
  <c r="R106" i="1" s="1"/>
  <c r="O107" i="1"/>
  <c r="Q107" i="1" s="1"/>
  <c r="R107" i="1" s="1"/>
  <c r="O108" i="1"/>
  <c r="Q108" i="1" s="1"/>
  <c r="R108" i="1" s="1"/>
  <c r="O109" i="1"/>
  <c r="Q109" i="1" s="1"/>
  <c r="R109" i="1" s="1"/>
  <c r="O110" i="1"/>
  <c r="Q110" i="1" s="1"/>
  <c r="R110" i="1" s="1"/>
  <c r="O111" i="1"/>
  <c r="Q111" i="1" s="1"/>
  <c r="R111" i="1" s="1"/>
  <c r="O112" i="1"/>
  <c r="Q112" i="1" s="1"/>
  <c r="R112" i="1" s="1"/>
  <c r="O113" i="1"/>
  <c r="Q113" i="1" s="1"/>
  <c r="R113" i="1" s="1"/>
  <c r="O114" i="1"/>
  <c r="Q114" i="1" s="1"/>
  <c r="R114" i="1" s="1"/>
  <c r="O115" i="1"/>
  <c r="Q115" i="1" s="1"/>
  <c r="R115" i="1" s="1"/>
  <c r="O116" i="1"/>
  <c r="Q116" i="1" s="1"/>
  <c r="R116" i="1" s="1"/>
  <c r="O117" i="1"/>
  <c r="Q117" i="1" s="1"/>
  <c r="R117" i="1" s="1"/>
  <c r="O118" i="1"/>
  <c r="Q118" i="1" s="1"/>
  <c r="R118" i="1" s="1"/>
  <c r="O119" i="1"/>
  <c r="Q119" i="1" s="1"/>
  <c r="R119" i="1" s="1"/>
  <c r="O120" i="1"/>
  <c r="Q120" i="1" s="1"/>
  <c r="R120" i="1" s="1"/>
  <c r="O121" i="1"/>
  <c r="Q121" i="1" s="1"/>
  <c r="R121" i="1" s="1"/>
  <c r="O122" i="1"/>
  <c r="Q122" i="1" s="1"/>
  <c r="R122" i="1" s="1"/>
  <c r="O123" i="1"/>
  <c r="Q123" i="1" s="1"/>
  <c r="R123" i="1" s="1"/>
  <c r="O124" i="1"/>
  <c r="Q124" i="1" s="1"/>
  <c r="R124" i="1" s="1"/>
  <c r="O125" i="1"/>
  <c r="Q125" i="1" s="1"/>
  <c r="R125" i="1" s="1"/>
  <c r="O126" i="1"/>
  <c r="Q126" i="1" s="1"/>
  <c r="R126" i="1" s="1"/>
  <c r="O127" i="1"/>
  <c r="Q127" i="1" s="1"/>
  <c r="R127" i="1" s="1"/>
  <c r="O128" i="1"/>
  <c r="Q128" i="1" s="1"/>
  <c r="R128" i="1" s="1"/>
  <c r="O129" i="1"/>
  <c r="Q129" i="1" s="1"/>
  <c r="R129" i="1" s="1"/>
  <c r="O130" i="1"/>
  <c r="Q130" i="1" s="1"/>
  <c r="R130" i="1" s="1"/>
  <c r="O131" i="1"/>
  <c r="Q131" i="1" s="1"/>
  <c r="R131" i="1" s="1"/>
  <c r="O132" i="1"/>
  <c r="Q132" i="1" s="1"/>
  <c r="R132" i="1" s="1"/>
  <c r="O133" i="1"/>
  <c r="Q133" i="1" s="1"/>
  <c r="R133" i="1" s="1"/>
  <c r="O134" i="1"/>
  <c r="Q134" i="1" s="1"/>
  <c r="R134" i="1" s="1"/>
  <c r="O135" i="1"/>
  <c r="Q135" i="1" s="1"/>
  <c r="R135" i="1" s="1"/>
  <c r="O136" i="1"/>
  <c r="Q136" i="1" s="1"/>
  <c r="R136" i="1" s="1"/>
  <c r="O137" i="1"/>
  <c r="Q137" i="1" s="1"/>
  <c r="R137" i="1" s="1"/>
  <c r="O138" i="1"/>
  <c r="Q138" i="1" s="1"/>
  <c r="R138" i="1" s="1"/>
  <c r="O139" i="1"/>
  <c r="Q139" i="1" s="1"/>
  <c r="R139" i="1" s="1"/>
  <c r="O140" i="1"/>
  <c r="Q140" i="1" s="1"/>
  <c r="R140" i="1" s="1"/>
  <c r="O141" i="1"/>
  <c r="Q141" i="1" s="1"/>
  <c r="R141" i="1" s="1"/>
  <c r="O142" i="1"/>
  <c r="Q142" i="1" s="1"/>
  <c r="R142" i="1" s="1"/>
  <c r="O143" i="1"/>
  <c r="Q143" i="1" s="1"/>
  <c r="R143" i="1" s="1"/>
  <c r="O144" i="1"/>
  <c r="Q144" i="1" s="1"/>
  <c r="R144" i="1" s="1"/>
  <c r="O145" i="1"/>
  <c r="Q145" i="1" s="1"/>
  <c r="R145" i="1" s="1"/>
  <c r="O146" i="1"/>
  <c r="Q146" i="1" s="1"/>
  <c r="R146" i="1" s="1"/>
  <c r="O147" i="1"/>
  <c r="Q147" i="1" s="1"/>
  <c r="R147" i="1" s="1"/>
  <c r="O148" i="1"/>
  <c r="Q148" i="1" s="1"/>
  <c r="R148" i="1" s="1"/>
  <c r="O149" i="1"/>
  <c r="Q149" i="1" s="1"/>
  <c r="R149" i="1" s="1"/>
  <c r="O150" i="1"/>
  <c r="Q150" i="1" s="1"/>
  <c r="R150" i="1" s="1"/>
  <c r="O151" i="1"/>
  <c r="Q151" i="1" s="1"/>
  <c r="R151" i="1" s="1"/>
  <c r="O152" i="1"/>
  <c r="Q152" i="1" s="1"/>
  <c r="R152" i="1" s="1"/>
  <c r="O153" i="1"/>
  <c r="Q153" i="1" s="1"/>
  <c r="R153" i="1" s="1"/>
  <c r="O154" i="1"/>
  <c r="Q154" i="1" s="1"/>
  <c r="R154" i="1" s="1"/>
  <c r="O155" i="1"/>
  <c r="Q155" i="1" s="1"/>
  <c r="R155" i="1" s="1"/>
  <c r="O156" i="1"/>
  <c r="Q156" i="1" s="1"/>
  <c r="R156" i="1" s="1"/>
  <c r="O157" i="1"/>
  <c r="Q157" i="1" s="1"/>
  <c r="R157" i="1" s="1"/>
  <c r="O158" i="1"/>
  <c r="Q158" i="1" s="1"/>
  <c r="R158" i="1" s="1"/>
  <c r="O159" i="1"/>
  <c r="Q159" i="1" s="1"/>
  <c r="R159" i="1" s="1"/>
  <c r="O160" i="1"/>
  <c r="Q160" i="1" s="1"/>
  <c r="R160" i="1" s="1"/>
  <c r="O161" i="1"/>
  <c r="Q161" i="1" s="1"/>
  <c r="R161" i="1" s="1"/>
  <c r="O162" i="1"/>
  <c r="Q162" i="1" s="1"/>
  <c r="R162" i="1" s="1"/>
  <c r="O163" i="1"/>
  <c r="Q163" i="1" s="1"/>
  <c r="R163" i="1" s="1"/>
  <c r="O164" i="1"/>
  <c r="Q164" i="1" s="1"/>
  <c r="R164" i="1" s="1"/>
  <c r="O165" i="1"/>
  <c r="Q165" i="1" s="1"/>
  <c r="R165" i="1" s="1"/>
  <c r="O166" i="1"/>
  <c r="Q166" i="1" s="1"/>
  <c r="R166" i="1" s="1"/>
  <c r="O167" i="1"/>
  <c r="Q167" i="1" s="1"/>
  <c r="R167" i="1" s="1"/>
  <c r="O168" i="1"/>
  <c r="Q168" i="1" s="1"/>
  <c r="R168" i="1" s="1"/>
  <c r="O169" i="1"/>
  <c r="Q169" i="1" s="1"/>
  <c r="R169" i="1" s="1"/>
  <c r="O170" i="1"/>
  <c r="Q170" i="1" s="1"/>
  <c r="R170" i="1" s="1"/>
  <c r="O171" i="1"/>
  <c r="Q171" i="1" s="1"/>
  <c r="R171" i="1" s="1"/>
  <c r="O172" i="1"/>
  <c r="Q172" i="1" s="1"/>
  <c r="R172" i="1" s="1"/>
  <c r="O173" i="1"/>
  <c r="Q173" i="1" s="1"/>
  <c r="R173" i="1" s="1"/>
  <c r="O174" i="1"/>
  <c r="Q174" i="1" s="1"/>
  <c r="R174" i="1" s="1"/>
  <c r="O175" i="1"/>
  <c r="Q175" i="1" s="1"/>
  <c r="R175" i="1" s="1"/>
  <c r="O176" i="1"/>
  <c r="Q176" i="1" s="1"/>
  <c r="R176" i="1" s="1"/>
  <c r="O177" i="1"/>
  <c r="Q177" i="1" s="1"/>
  <c r="R177" i="1" s="1"/>
  <c r="O178" i="1"/>
  <c r="Q178" i="1" s="1"/>
  <c r="R178" i="1" s="1"/>
  <c r="O179" i="1"/>
  <c r="Q179" i="1" s="1"/>
  <c r="R179" i="1" s="1"/>
  <c r="O180" i="1"/>
  <c r="Q180" i="1" s="1"/>
  <c r="R180" i="1" s="1"/>
  <c r="O181" i="1"/>
  <c r="Q181" i="1" s="1"/>
  <c r="R181" i="1" s="1"/>
  <c r="O182" i="1"/>
  <c r="Q182" i="1" s="1"/>
  <c r="R182" i="1" s="1"/>
  <c r="O183" i="1"/>
  <c r="Q183" i="1" s="1"/>
  <c r="R183" i="1" s="1"/>
  <c r="O184" i="1"/>
  <c r="Q184" i="1" s="1"/>
  <c r="R184" i="1" s="1"/>
  <c r="O185" i="1"/>
  <c r="Q185" i="1" s="1"/>
  <c r="R185" i="1" s="1"/>
  <c r="O186" i="1"/>
  <c r="Q186" i="1" s="1"/>
  <c r="R186" i="1" s="1"/>
  <c r="O187" i="1"/>
  <c r="Q187" i="1" s="1"/>
  <c r="R187" i="1" s="1"/>
  <c r="O188" i="1"/>
  <c r="Q188" i="1" s="1"/>
  <c r="R188" i="1" s="1"/>
  <c r="O189" i="1"/>
  <c r="Q189" i="1" s="1"/>
  <c r="R189" i="1" s="1"/>
  <c r="O190" i="1"/>
  <c r="Q190" i="1" s="1"/>
  <c r="R190" i="1" s="1"/>
  <c r="O191" i="1"/>
  <c r="Q191" i="1" s="1"/>
  <c r="R191" i="1" s="1"/>
  <c r="O192" i="1"/>
  <c r="Q192" i="1" s="1"/>
  <c r="R192" i="1" s="1"/>
  <c r="O193" i="1"/>
  <c r="Q193" i="1" s="1"/>
  <c r="R193" i="1" s="1"/>
  <c r="O194" i="1"/>
  <c r="Q194" i="1" s="1"/>
  <c r="R194" i="1" s="1"/>
  <c r="O195" i="1"/>
  <c r="Q195" i="1" s="1"/>
  <c r="R195" i="1" s="1"/>
  <c r="O196" i="1"/>
  <c r="Q196" i="1" s="1"/>
  <c r="R196" i="1" s="1"/>
  <c r="O197" i="1"/>
  <c r="Q197" i="1" s="1"/>
  <c r="R197" i="1" s="1"/>
  <c r="O198" i="1"/>
  <c r="Q198" i="1" s="1"/>
  <c r="R198" i="1" s="1"/>
  <c r="O199" i="1"/>
  <c r="Q199" i="1" s="1"/>
  <c r="R199" i="1" s="1"/>
  <c r="O200" i="1"/>
  <c r="Q200" i="1" s="1"/>
  <c r="R200" i="1" s="1"/>
  <c r="O201" i="1"/>
  <c r="Q201" i="1" s="1"/>
  <c r="R201" i="1" s="1"/>
  <c r="O202" i="1"/>
  <c r="Q202" i="1" s="1"/>
  <c r="R202" i="1" s="1"/>
  <c r="O203" i="1"/>
  <c r="Q203" i="1" s="1"/>
  <c r="R203" i="1" s="1"/>
  <c r="O204" i="1"/>
  <c r="Q204" i="1" s="1"/>
  <c r="R204" i="1" s="1"/>
  <c r="O205" i="1"/>
  <c r="Q205" i="1" s="1"/>
  <c r="R205" i="1" s="1"/>
  <c r="O206" i="1"/>
  <c r="Q206" i="1" s="1"/>
  <c r="R206" i="1" s="1"/>
  <c r="O207" i="1"/>
  <c r="Q207" i="1" s="1"/>
  <c r="R207" i="1" s="1"/>
  <c r="O208" i="1"/>
  <c r="Q208" i="1" s="1"/>
  <c r="R208" i="1" s="1"/>
  <c r="O209" i="1"/>
  <c r="Q209" i="1" s="1"/>
  <c r="R209" i="1" s="1"/>
  <c r="O210" i="1"/>
  <c r="Q210" i="1" s="1"/>
  <c r="R210" i="1" s="1"/>
  <c r="O211" i="1"/>
  <c r="Q211" i="1" s="1"/>
  <c r="R211" i="1" s="1"/>
  <c r="O212" i="1"/>
  <c r="Q212" i="1" s="1"/>
  <c r="R212" i="1" s="1"/>
  <c r="O213" i="1"/>
  <c r="Q213" i="1" s="1"/>
  <c r="R213" i="1" s="1"/>
  <c r="O214" i="1"/>
  <c r="Q214" i="1" s="1"/>
  <c r="R214" i="1" s="1"/>
  <c r="O215" i="1"/>
  <c r="Q215" i="1" s="1"/>
  <c r="R215" i="1" s="1"/>
  <c r="O216" i="1"/>
  <c r="Q216" i="1" s="1"/>
  <c r="R216" i="1" s="1"/>
  <c r="O217" i="1"/>
  <c r="Q217" i="1" s="1"/>
  <c r="R217" i="1" s="1"/>
  <c r="O218" i="1"/>
  <c r="Q218" i="1" s="1"/>
  <c r="R218" i="1" s="1"/>
  <c r="O219" i="1"/>
  <c r="Q219" i="1" s="1"/>
  <c r="R219" i="1" s="1"/>
  <c r="O220" i="1"/>
  <c r="Q220" i="1" s="1"/>
  <c r="R220" i="1" s="1"/>
  <c r="O221" i="1"/>
  <c r="Q221" i="1" s="1"/>
  <c r="R221" i="1" s="1"/>
  <c r="O222" i="1"/>
  <c r="Q222" i="1" s="1"/>
  <c r="R222" i="1" s="1"/>
  <c r="O223" i="1"/>
  <c r="Q223" i="1" s="1"/>
  <c r="R223" i="1" s="1"/>
  <c r="O224" i="1"/>
  <c r="Q224" i="1" s="1"/>
  <c r="R224" i="1" s="1"/>
  <c r="O225" i="1"/>
  <c r="Q225" i="1" s="1"/>
  <c r="R225" i="1" s="1"/>
  <c r="O226" i="1"/>
  <c r="Q226" i="1" s="1"/>
  <c r="R226" i="1" s="1"/>
  <c r="O227" i="1"/>
  <c r="Q227" i="1" s="1"/>
  <c r="R227" i="1" s="1"/>
  <c r="O228" i="1"/>
  <c r="Q228" i="1" s="1"/>
  <c r="R228" i="1" s="1"/>
  <c r="O229" i="1"/>
  <c r="Q229" i="1" s="1"/>
  <c r="R229" i="1" s="1"/>
  <c r="O230" i="1"/>
  <c r="Q230" i="1" s="1"/>
  <c r="R230" i="1" s="1"/>
  <c r="O231" i="1"/>
  <c r="Q231" i="1" s="1"/>
  <c r="R231" i="1" s="1"/>
  <c r="O232" i="1"/>
  <c r="Q232" i="1" s="1"/>
  <c r="R232" i="1" s="1"/>
  <c r="O233" i="1"/>
  <c r="Q233" i="1" s="1"/>
  <c r="R233" i="1" s="1"/>
  <c r="O234" i="1"/>
  <c r="Q234" i="1" s="1"/>
  <c r="R234" i="1" s="1"/>
  <c r="O235" i="1"/>
  <c r="Q235" i="1" s="1"/>
  <c r="R235" i="1" s="1"/>
  <c r="O236" i="1"/>
  <c r="Q236" i="1" s="1"/>
  <c r="R236" i="1" s="1"/>
  <c r="O237" i="1"/>
  <c r="Q237" i="1" s="1"/>
  <c r="R237" i="1" s="1"/>
  <c r="O238" i="1"/>
  <c r="Q238" i="1" s="1"/>
  <c r="R238" i="1" s="1"/>
  <c r="O239" i="1"/>
  <c r="Q239" i="1" s="1"/>
  <c r="R239" i="1" s="1"/>
  <c r="O240" i="1"/>
  <c r="Q240" i="1" s="1"/>
  <c r="R240" i="1" s="1"/>
  <c r="O241" i="1"/>
  <c r="Q241" i="1" s="1"/>
  <c r="R241" i="1" s="1"/>
  <c r="O242" i="1"/>
  <c r="Q242" i="1" s="1"/>
  <c r="R242" i="1" s="1"/>
  <c r="O243" i="1"/>
  <c r="Q243" i="1" s="1"/>
  <c r="R243" i="1" s="1"/>
  <c r="O244" i="1"/>
  <c r="Q244" i="1" s="1"/>
  <c r="R244" i="1" s="1"/>
  <c r="O245" i="1"/>
  <c r="Q245" i="1" s="1"/>
  <c r="R245" i="1" s="1"/>
  <c r="O246" i="1"/>
  <c r="Q246" i="1" s="1"/>
  <c r="R246" i="1" s="1"/>
  <c r="O247" i="1"/>
  <c r="Q247" i="1" s="1"/>
  <c r="R247" i="1" s="1"/>
  <c r="O248" i="1"/>
  <c r="Q248" i="1" s="1"/>
  <c r="R248" i="1" s="1"/>
  <c r="O249" i="1"/>
  <c r="Q249" i="1" s="1"/>
  <c r="R249" i="1" s="1"/>
  <c r="O250" i="1"/>
  <c r="Q250" i="1" s="1"/>
  <c r="R250" i="1" s="1"/>
  <c r="O251" i="1"/>
  <c r="Q251" i="1" s="1"/>
  <c r="R251" i="1" s="1"/>
  <c r="O252" i="1"/>
  <c r="Q252" i="1" s="1"/>
  <c r="R252" i="1" s="1"/>
  <c r="O253" i="1"/>
  <c r="Q253" i="1" s="1"/>
  <c r="R253" i="1" s="1"/>
  <c r="O254" i="1"/>
  <c r="Q254" i="1" s="1"/>
  <c r="R254" i="1" s="1"/>
  <c r="O255" i="1"/>
  <c r="Q255" i="1" s="1"/>
  <c r="R255" i="1" s="1"/>
  <c r="O256" i="1"/>
  <c r="Q256" i="1" s="1"/>
  <c r="R256" i="1" s="1"/>
  <c r="O257" i="1"/>
  <c r="Q257" i="1" s="1"/>
  <c r="R257" i="1" s="1"/>
  <c r="O258" i="1"/>
  <c r="Q258" i="1" s="1"/>
  <c r="R258" i="1" s="1"/>
  <c r="O259" i="1"/>
  <c r="Q259" i="1" s="1"/>
  <c r="R259" i="1" s="1"/>
  <c r="O260" i="1"/>
  <c r="Q260" i="1" s="1"/>
  <c r="R260" i="1" s="1"/>
  <c r="O261" i="1"/>
  <c r="Q261" i="1" s="1"/>
  <c r="R261" i="1" s="1"/>
  <c r="O262" i="1"/>
  <c r="Q262" i="1" s="1"/>
  <c r="R262" i="1" s="1"/>
  <c r="O263" i="1"/>
  <c r="Q263" i="1" s="1"/>
  <c r="R263" i="1" s="1"/>
  <c r="O264" i="1"/>
  <c r="Q264" i="1" s="1"/>
  <c r="R264" i="1" s="1"/>
  <c r="O265" i="1"/>
  <c r="Q265" i="1" s="1"/>
  <c r="R265" i="1" s="1"/>
  <c r="O266" i="1"/>
  <c r="Q266" i="1" s="1"/>
  <c r="R266" i="1" s="1"/>
  <c r="O267" i="1"/>
  <c r="Q267" i="1" s="1"/>
  <c r="R267" i="1" s="1"/>
  <c r="O268" i="1"/>
  <c r="Q268" i="1" s="1"/>
  <c r="R268" i="1" s="1"/>
  <c r="O269" i="1"/>
  <c r="Q269" i="1" s="1"/>
  <c r="R269" i="1" s="1"/>
  <c r="O270" i="1"/>
  <c r="Q270" i="1" s="1"/>
  <c r="R270" i="1" s="1"/>
  <c r="O271" i="1"/>
  <c r="Q271" i="1" s="1"/>
  <c r="R271" i="1" s="1"/>
  <c r="O272" i="1"/>
  <c r="Q272" i="1" s="1"/>
  <c r="R272" i="1" s="1"/>
  <c r="O273" i="1"/>
  <c r="Q273" i="1" s="1"/>
  <c r="R273" i="1" s="1"/>
  <c r="O274" i="1"/>
  <c r="Q274" i="1" s="1"/>
  <c r="R274" i="1" s="1"/>
  <c r="O275" i="1"/>
  <c r="Q275" i="1" s="1"/>
  <c r="R275" i="1" s="1"/>
  <c r="O276" i="1"/>
  <c r="Q276" i="1" s="1"/>
  <c r="R276" i="1" s="1"/>
  <c r="O277" i="1"/>
  <c r="Q277" i="1" s="1"/>
  <c r="R277" i="1" s="1"/>
  <c r="O278" i="1"/>
  <c r="Q278" i="1" s="1"/>
  <c r="R278" i="1" s="1"/>
  <c r="O279" i="1"/>
  <c r="Q279" i="1" s="1"/>
  <c r="R279" i="1" s="1"/>
  <c r="O280" i="1"/>
  <c r="Q280" i="1" s="1"/>
  <c r="R280" i="1" s="1"/>
  <c r="O281" i="1"/>
  <c r="Q281" i="1" s="1"/>
  <c r="R281" i="1" s="1"/>
  <c r="O282" i="1"/>
  <c r="Q282" i="1" s="1"/>
  <c r="R282" i="1" s="1"/>
  <c r="O283" i="1"/>
  <c r="Q283" i="1" s="1"/>
  <c r="R283" i="1" s="1"/>
  <c r="O284" i="1"/>
  <c r="Q284" i="1" s="1"/>
  <c r="R284" i="1" s="1"/>
  <c r="O285" i="1"/>
  <c r="Q285" i="1" s="1"/>
  <c r="R285" i="1" s="1"/>
  <c r="O286" i="1"/>
  <c r="Q286" i="1" s="1"/>
  <c r="R286" i="1" s="1"/>
  <c r="O287" i="1"/>
  <c r="Q287" i="1" s="1"/>
  <c r="R287" i="1" s="1"/>
  <c r="O288" i="1"/>
  <c r="Q288" i="1" s="1"/>
  <c r="R288" i="1" s="1"/>
  <c r="O289" i="1"/>
  <c r="Q289" i="1" s="1"/>
  <c r="R289" i="1" s="1"/>
  <c r="O290" i="1"/>
  <c r="Q290" i="1" s="1"/>
  <c r="R290" i="1" s="1"/>
  <c r="O291" i="1"/>
  <c r="Q291" i="1" s="1"/>
  <c r="R291" i="1" s="1"/>
  <c r="O292" i="1"/>
  <c r="Q292" i="1" s="1"/>
  <c r="R292" i="1" s="1"/>
  <c r="O293" i="1"/>
  <c r="Q293" i="1" s="1"/>
  <c r="R293" i="1" s="1"/>
  <c r="O294" i="1"/>
  <c r="Q294" i="1" s="1"/>
  <c r="R294" i="1" s="1"/>
  <c r="O295" i="1"/>
  <c r="Q295" i="1" s="1"/>
  <c r="R295" i="1" s="1"/>
  <c r="O296" i="1"/>
  <c r="Q296" i="1" s="1"/>
  <c r="R296" i="1" s="1"/>
  <c r="O297" i="1"/>
  <c r="Q297" i="1" s="1"/>
  <c r="R297" i="1" s="1"/>
  <c r="O298" i="1"/>
  <c r="Q298" i="1" s="1"/>
  <c r="R298" i="1" s="1"/>
  <c r="O299" i="1"/>
  <c r="Q299" i="1" s="1"/>
  <c r="R299" i="1" s="1"/>
  <c r="O300" i="1"/>
  <c r="Q300" i="1" s="1"/>
  <c r="R300" i="1" s="1"/>
  <c r="O301" i="1"/>
  <c r="Q301" i="1" s="1"/>
  <c r="R301" i="1" s="1"/>
  <c r="O302" i="1"/>
  <c r="Q302" i="1" s="1"/>
  <c r="R302" i="1" s="1"/>
  <c r="O303" i="1"/>
  <c r="Q303" i="1" s="1"/>
  <c r="R303" i="1" s="1"/>
  <c r="O304" i="1"/>
  <c r="Q304" i="1" s="1"/>
  <c r="R304" i="1" s="1"/>
  <c r="O305" i="1"/>
  <c r="Q305" i="1" s="1"/>
  <c r="R305" i="1" s="1"/>
  <c r="O306" i="1"/>
  <c r="Q306" i="1" s="1"/>
  <c r="R306" i="1" s="1"/>
  <c r="O307" i="1"/>
  <c r="Q307" i="1" s="1"/>
  <c r="R307" i="1" s="1"/>
  <c r="O308" i="1"/>
  <c r="Q308" i="1" s="1"/>
  <c r="R308" i="1" s="1"/>
  <c r="O309" i="1"/>
  <c r="Q309" i="1" s="1"/>
  <c r="R309" i="1" s="1"/>
  <c r="O310" i="1"/>
  <c r="Q310" i="1" s="1"/>
  <c r="R310" i="1" s="1"/>
  <c r="O311" i="1"/>
  <c r="Q311" i="1" s="1"/>
  <c r="R311" i="1" s="1"/>
  <c r="O312" i="1"/>
  <c r="Q312" i="1" s="1"/>
  <c r="R312" i="1" s="1"/>
  <c r="O313" i="1"/>
  <c r="Q313" i="1" s="1"/>
  <c r="R313" i="1" s="1"/>
  <c r="O314" i="1"/>
  <c r="Q314" i="1" s="1"/>
  <c r="R314" i="1" s="1"/>
  <c r="O315" i="1"/>
  <c r="Q315" i="1" s="1"/>
  <c r="R315" i="1" s="1"/>
  <c r="O316" i="1"/>
  <c r="Q316" i="1" s="1"/>
  <c r="R316" i="1" s="1"/>
  <c r="O317" i="1"/>
  <c r="Q317" i="1" s="1"/>
  <c r="R317" i="1" s="1"/>
  <c r="O318" i="1"/>
  <c r="Q318" i="1" s="1"/>
  <c r="R318" i="1" s="1"/>
  <c r="O319" i="1"/>
  <c r="Q319" i="1" s="1"/>
  <c r="R319" i="1" s="1"/>
  <c r="O320" i="1"/>
  <c r="Q320" i="1" s="1"/>
  <c r="R320" i="1" s="1"/>
  <c r="O321" i="1"/>
  <c r="Q321" i="1" s="1"/>
  <c r="R321" i="1" s="1"/>
  <c r="O322" i="1"/>
  <c r="Q322" i="1" s="1"/>
  <c r="R322" i="1" s="1"/>
  <c r="O323" i="1"/>
  <c r="Q323" i="1" s="1"/>
  <c r="R323" i="1" s="1"/>
  <c r="O324" i="1"/>
  <c r="Q324" i="1" s="1"/>
  <c r="R324" i="1" s="1"/>
  <c r="O325" i="1"/>
  <c r="Q325" i="1" s="1"/>
  <c r="R325" i="1" s="1"/>
  <c r="O326" i="1"/>
  <c r="Q326" i="1" s="1"/>
  <c r="R326" i="1" s="1"/>
  <c r="O327" i="1"/>
  <c r="Q327" i="1" s="1"/>
  <c r="R327" i="1" s="1"/>
  <c r="O328" i="1"/>
  <c r="Q328" i="1" s="1"/>
  <c r="R328" i="1" s="1"/>
  <c r="O329" i="1"/>
  <c r="Q329" i="1" s="1"/>
  <c r="R329" i="1" s="1"/>
  <c r="O330" i="1"/>
  <c r="Q330" i="1" s="1"/>
  <c r="R330" i="1" s="1"/>
  <c r="O331" i="1"/>
  <c r="Q331" i="1" s="1"/>
  <c r="R331" i="1" s="1"/>
  <c r="O332" i="1"/>
  <c r="Q332" i="1" s="1"/>
  <c r="R332" i="1" s="1"/>
  <c r="O333" i="1"/>
  <c r="Q333" i="1" s="1"/>
  <c r="R333" i="1" s="1"/>
  <c r="O334" i="1"/>
  <c r="Q334" i="1" s="1"/>
  <c r="R334" i="1" s="1"/>
  <c r="O335" i="1"/>
  <c r="Q335" i="1" s="1"/>
  <c r="R335" i="1" s="1"/>
  <c r="O336" i="1"/>
  <c r="Q336" i="1" s="1"/>
  <c r="R336" i="1" s="1"/>
  <c r="O337" i="1"/>
  <c r="Q337" i="1" s="1"/>
  <c r="R337" i="1" s="1"/>
  <c r="O338" i="1"/>
  <c r="Q338" i="1" s="1"/>
  <c r="R338" i="1" s="1"/>
  <c r="O339" i="1"/>
  <c r="Q339" i="1" s="1"/>
  <c r="R339" i="1" s="1"/>
  <c r="O340" i="1"/>
  <c r="Q340" i="1" s="1"/>
  <c r="R340" i="1" s="1"/>
  <c r="O341" i="1"/>
  <c r="Q341" i="1" s="1"/>
  <c r="R341" i="1" s="1"/>
  <c r="O342" i="1"/>
  <c r="Q342" i="1" s="1"/>
  <c r="R342" i="1" s="1"/>
  <c r="O343" i="1"/>
  <c r="Q343" i="1" s="1"/>
  <c r="R343" i="1" s="1"/>
  <c r="O344" i="1"/>
  <c r="Q344" i="1" s="1"/>
  <c r="R344" i="1" s="1"/>
  <c r="O345" i="1"/>
  <c r="Q345" i="1" s="1"/>
  <c r="R345" i="1" s="1"/>
  <c r="O346" i="1"/>
  <c r="Q346" i="1" s="1"/>
  <c r="R346" i="1" s="1"/>
  <c r="O347" i="1"/>
  <c r="Q347" i="1" s="1"/>
  <c r="R347" i="1" s="1"/>
  <c r="O348" i="1"/>
  <c r="Q348" i="1" s="1"/>
  <c r="R348" i="1" s="1"/>
  <c r="O349" i="1"/>
  <c r="Q349" i="1" s="1"/>
  <c r="R349" i="1" s="1"/>
  <c r="O350" i="1"/>
  <c r="Q350" i="1" s="1"/>
  <c r="R350" i="1" s="1"/>
  <c r="O351" i="1"/>
  <c r="Q351" i="1" s="1"/>
  <c r="R351" i="1" s="1"/>
  <c r="O352" i="1"/>
  <c r="Q352" i="1" s="1"/>
  <c r="R352" i="1" s="1"/>
  <c r="O353" i="1"/>
  <c r="Q353" i="1" s="1"/>
  <c r="R353" i="1" s="1"/>
  <c r="O354" i="1"/>
  <c r="Q354" i="1" s="1"/>
  <c r="R354" i="1" s="1"/>
  <c r="O355" i="1"/>
  <c r="Q355" i="1" s="1"/>
  <c r="R355" i="1" s="1"/>
  <c r="O356" i="1"/>
  <c r="Q356" i="1" s="1"/>
  <c r="R356" i="1" s="1"/>
  <c r="O357" i="1"/>
  <c r="Q357" i="1" s="1"/>
  <c r="R357" i="1" s="1"/>
  <c r="O358" i="1"/>
  <c r="Q358" i="1" s="1"/>
  <c r="R358" i="1" s="1"/>
  <c r="O359" i="1"/>
  <c r="Q359" i="1" s="1"/>
  <c r="R359" i="1" s="1"/>
  <c r="O360" i="1"/>
  <c r="Q360" i="1" s="1"/>
  <c r="R360" i="1" s="1"/>
  <c r="O361" i="1"/>
  <c r="Q361" i="1" s="1"/>
  <c r="R361" i="1" s="1"/>
  <c r="O362" i="1"/>
  <c r="Q362" i="1" s="1"/>
  <c r="R362" i="1" s="1"/>
  <c r="O363" i="1"/>
  <c r="Q363" i="1" s="1"/>
  <c r="R363" i="1" s="1"/>
  <c r="O364" i="1"/>
  <c r="Q364" i="1" s="1"/>
  <c r="R364" i="1" s="1"/>
  <c r="O365" i="1"/>
  <c r="Q365" i="1" s="1"/>
  <c r="R365" i="1" s="1"/>
  <c r="O366" i="1"/>
  <c r="Q366" i="1" s="1"/>
  <c r="R366" i="1" s="1"/>
  <c r="O367" i="1"/>
  <c r="Q367" i="1" s="1"/>
  <c r="R367" i="1" s="1"/>
  <c r="O368" i="1"/>
  <c r="Q368" i="1" s="1"/>
  <c r="R368" i="1" s="1"/>
  <c r="O369" i="1"/>
  <c r="Q369" i="1" s="1"/>
  <c r="R369" i="1" s="1"/>
  <c r="O370" i="1"/>
  <c r="Q370" i="1" s="1"/>
  <c r="R370" i="1" s="1"/>
  <c r="O371" i="1"/>
  <c r="Q371" i="1" s="1"/>
  <c r="R371" i="1" s="1"/>
  <c r="O372" i="1"/>
  <c r="Q372" i="1" s="1"/>
  <c r="R372" i="1" s="1"/>
  <c r="O373" i="1"/>
  <c r="Q373" i="1" s="1"/>
  <c r="R373" i="1" s="1"/>
  <c r="O374" i="1"/>
  <c r="Q374" i="1" s="1"/>
  <c r="R374" i="1" s="1"/>
  <c r="O375" i="1"/>
  <c r="Q375" i="1" s="1"/>
  <c r="R375" i="1" s="1"/>
  <c r="O376" i="1"/>
  <c r="Q376" i="1" s="1"/>
  <c r="R376" i="1" s="1"/>
  <c r="O377" i="1"/>
  <c r="Q377" i="1" s="1"/>
  <c r="R377" i="1" s="1"/>
  <c r="O378" i="1"/>
  <c r="Q378" i="1" s="1"/>
  <c r="R378" i="1" s="1"/>
  <c r="O379" i="1"/>
  <c r="Q379" i="1" s="1"/>
  <c r="R379" i="1" s="1"/>
  <c r="O380" i="1"/>
  <c r="Q380" i="1" s="1"/>
  <c r="R380" i="1" s="1"/>
  <c r="O381" i="1"/>
  <c r="Q381" i="1" s="1"/>
  <c r="R381" i="1" s="1"/>
  <c r="O382" i="1"/>
  <c r="Q382" i="1" s="1"/>
  <c r="R382" i="1" s="1"/>
  <c r="O383" i="1"/>
  <c r="Q383" i="1" s="1"/>
  <c r="R383" i="1" s="1"/>
  <c r="O384" i="1"/>
  <c r="Q384" i="1" s="1"/>
  <c r="R384" i="1" s="1"/>
  <c r="O385" i="1"/>
  <c r="Q385" i="1" s="1"/>
  <c r="R385" i="1" s="1"/>
  <c r="O386" i="1"/>
  <c r="Q386" i="1" s="1"/>
  <c r="R386" i="1" s="1"/>
  <c r="O387" i="1"/>
  <c r="Q387" i="1" s="1"/>
  <c r="R387" i="1" s="1"/>
  <c r="O388" i="1"/>
  <c r="Q388" i="1" s="1"/>
  <c r="R388" i="1" s="1"/>
  <c r="O389" i="1"/>
  <c r="Q389" i="1" s="1"/>
  <c r="R389" i="1" s="1"/>
  <c r="O390" i="1"/>
  <c r="Q390" i="1" s="1"/>
  <c r="R390" i="1" s="1"/>
  <c r="O391" i="1"/>
  <c r="Q391" i="1" s="1"/>
  <c r="R391" i="1" s="1"/>
  <c r="O392" i="1"/>
  <c r="Q392" i="1" s="1"/>
  <c r="R392" i="1" s="1"/>
  <c r="O393" i="1"/>
  <c r="Q393" i="1" s="1"/>
  <c r="R393" i="1" s="1"/>
  <c r="O394" i="1"/>
  <c r="Q394" i="1" s="1"/>
  <c r="R394" i="1" s="1"/>
  <c r="O395" i="1"/>
  <c r="Q395" i="1" s="1"/>
  <c r="R395" i="1" s="1"/>
  <c r="O396" i="1"/>
  <c r="Q396" i="1" s="1"/>
  <c r="R396" i="1" s="1"/>
  <c r="O397" i="1"/>
  <c r="Q397" i="1" s="1"/>
  <c r="R397" i="1" s="1"/>
  <c r="O398" i="1"/>
  <c r="Q398" i="1" s="1"/>
  <c r="R398" i="1" s="1"/>
  <c r="O399" i="1"/>
  <c r="Q399" i="1" s="1"/>
  <c r="R399" i="1" s="1"/>
  <c r="O400" i="1"/>
  <c r="Q400" i="1" s="1"/>
  <c r="R400" i="1" s="1"/>
  <c r="O401" i="1"/>
  <c r="Q401" i="1" s="1"/>
  <c r="R401" i="1" s="1"/>
  <c r="O402" i="1"/>
  <c r="Q402" i="1" s="1"/>
  <c r="R402" i="1" s="1"/>
  <c r="O403" i="1"/>
  <c r="Q403" i="1" s="1"/>
  <c r="R403" i="1" s="1"/>
  <c r="O404" i="1"/>
  <c r="Q404" i="1" s="1"/>
  <c r="R404" i="1" s="1"/>
  <c r="O405" i="1"/>
  <c r="Q405" i="1" s="1"/>
  <c r="R405" i="1" s="1"/>
  <c r="O406" i="1"/>
  <c r="Q406" i="1" s="1"/>
  <c r="R406" i="1" s="1"/>
  <c r="O407" i="1"/>
  <c r="Q407" i="1" s="1"/>
  <c r="R407" i="1" s="1"/>
  <c r="O408" i="1"/>
  <c r="Q408" i="1" s="1"/>
  <c r="R408" i="1" s="1"/>
  <c r="O409" i="1"/>
  <c r="Q409" i="1" s="1"/>
  <c r="R409" i="1" s="1"/>
  <c r="O410" i="1"/>
  <c r="Q410" i="1" s="1"/>
  <c r="R410" i="1" s="1"/>
  <c r="O411" i="1"/>
  <c r="Q411" i="1" s="1"/>
  <c r="R411" i="1" s="1"/>
  <c r="O412" i="1"/>
  <c r="Q412" i="1" s="1"/>
  <c r="R412" i="1" s="1"/>
  <c r="O413" i="1"/>
  <c r="Q413" i="1" s="1"/>
  <c r="R413" i="1" s="1"/>
  <c r="O414" i="1"/>
  <c r="Q414" i="1" s="1"/>
  <c r="R414" i="1" s="1"/>
  <c r="O415" i="1"/>
  <c r="Q415" i="1" s="1"/>
  <c r="R415" i="1" s="1"/>
  <c r="O416" i="1"/>
  <c r="Q416" i="1" s="1"/>
  <c r="R416" i="1" s="1"/>
  <c r="O417" i="1"/>
  <c r="Q417" i="1" s="1"/>
  <c r="R417" i="1" s="1"/>
  <c r="O418" i="1"/>
  <c r="Q418" i="1" s="1"/>
  <c r="R418" i="1" s="1"/>
  <c r="O419" i="1"/>
  <c r="Q419" i="1" s="1"/>
  <c r="R419" i="1" s="1"/>
  <c r="O420" i="1"/>
  <c r="Q420" i="1" s="1"/>
  <c r="R420" i="1" s="1"/>
  <c r="O421" i="1"/>
  <c r="Q421" i="1" s="1"/>
  <c r="R421" i="1" s="1"/>
  <c r="O422" i="1"/>
  <c r="Q422" i="1" s="1"/>
  <c r="R422" i="1" s="1"/>
  <c r="O423" i="1"/>
  <c r="Q423" i="1" s="1"/>
  <c r="R423" i="1" s="1"/>
  <c r="O424" i="1"/>
  <c r="Q424" i="1" s="1"/>
  <c r="R424" i="1" s="1"/>
  <c r="O425" i="1"/>
  <c r="Q425" i="1" s="1"/>
  <c r="R425" i="1" s="1"/>
  <c r="O426" i="1"/>
  <c r="Q426" i="1" s="1"/>
  <c r="O427" i="1"/>
  <c r="Q427" i="1" s="1"/>
  <c r="R427" i="1" s="1"/>
  <c r="O428" i="1"/>
  <c r="Q428" i="1" s="1"/>
  <c r="R428" i="1" s="1"/>
  <c r="O429" i="1"/>
  <c r="Q429" i="1" s="1"/>
  <c r="R429" i="1" s="1"/>
  <c r="O430" i="1"/>
  <c r="Q430" i="1" s="1"/>
  <c r="R430" i="1" s="1"/>
  <c r="O431" i="1"/>
  <c r="Q431" i="1" s="1"/>
  <c r="R431" i="1" s="1"/>
  <c r="O432" i="1"/>
  <c r="Q432" i="1" s="1"/>
  <c r="R432" i="1" s="1"/>
  <c r="O433" i="1"/>
  <c r="Q433" i="1" s="1"/>
  <c r="R433" i="1" s="1"/>
  <c r="O434" i="1"/>
  <c r="Q434" i="1" s="1"/>
  <c r="R434" i="1" s="1"/>
  <c r="O435" i="1"/>
  <c r="Q435" i="1" s="1"/>
  <c r="R435" i="1" s="1"/>
  <c r="O436" i="1"/>
  <c r="Q436" i="1" s="1"/>
  <c r="R436" i="1" s="1"/>
  <c r="O437" i="1"/>
  <c r="Q437" i="1" s="1"/>
  <c r="R437" i="1" s="1"/>
  <c r="O438" i="1"/>
  <c r="Q438" i="1" s="1"/>
  <c r="R438" i="1" s="1"/>
  <c r="O439" i="1"/>
  <c r="Q439" i="1" s="1"/>
  <c r="R439" i="1" s="1"/>
  <c r="O440" i="1"/>
  <c r="Q440" i="1" s="1"/>
  <c r="R440" i="1" s="1"/>
  <c r="O441" i="1"/>
  <c r="Q441" i="1" s="1"/>
  <c r="R441" i="1" s="1"/>
  <c r="O442" i="1"/>
  <c r="Q442" i="1" s="1"/>
  <c r="R442" i="1" s="1"/>
  <c r="O443" i="1"/>
  <c r="Q443" i="1" s="1"/>
  <c r="R443" i="1" s="1"/>
  <c r="O444" i="1"/>
  <c r="Q444" i="1" s="1"/>
  <c r="R444" i="1" s="1"/>
  <c r="O445" i="1"/>
  <c r="Q445" i="1" s="1"/>
  <c r="R445" i="1" s="1"/>
  <c r="O446" i="1"/>
  <c r="Q446" i="1" s="1"/>
  <c r="R446" i="1" s="1"/>
  <c r="O447" i="1"/>
  <c r="Q447" i="1" s="1"/>
  <c r="R447" i="1" s="1"/>
  <c r="O448" i="1"/>
  <c r="Q448" i="1" s="1"/>
  <c r="R448" i="1" s="1"/>
  <c r="O449" i="1"/>
  <c r="Q449" i="1" s="1"/>
  <c r="R449" i="1" s="1"/>
  <c r="O450" i="1"/>
  <c r="Q450" i="1" s="1"/>
  <c r="R450" i="1" s="1"/>
  <c r="O451" i="1"/>
  <c r="Q451" i="1" s="1"/>
  <c r="R451" i="1" s="1"/>
  <c r="O452" i="1"/>
  <c r="Q452" i="1" s="1"/>
  <c r="R452" i="1" s="1"/>
  <c r="O453" i="1"/>
  <c r="Q453" i="1" s="1"/>
  <c r="R453" i="1" s="1"/>
  <c r="O454" i="1"/>
  <c r="Q454" i="1" s="1"/>
  <c r="R454" i="1" s="1"/>
  <c r="O455" i="1"/>
  <c r="Q455" i="1" s="1"/>
  <c r="R455" i="1" s="1"/>
  <c r="O456" i="1"/>
  <c r="Q456" i="1" s="1"/>
  <c r="R456" i="1" s="1"/>
  <c r="O457" i="1"/>
  <c r="Q457" i="1" s="1"/>
  <c r="R457" i="1" s="1"/>
  <c r="O458" i="1"/>
  <c r="Q458" i="1" s="1"/>
  <c r="R458" i="1" s="1"/>
  <c r="O459" i="1"/>
  <c r="Q459" i="1" s="1"/>
  <c r="R459" i="1" s="1"/>
  <c r="O460" i="1"/>
  <c r="Q460" i="1" s="1"/>
  <c r="R460" i="1" s="1"/>
  <c r="O461" i="1"/>
  <c r="Q461" i="1" s="1"/>
  <c r="R461" i="1" s="1"/>
  <c r="O462" i="1"/>
  <c r="Q462" i="1" s="1"/>
  <c r="R462" i="1" s="1"/>
  <c r="O463" i="1"/>
  <c r="Q463" i="1" s="1"/>
  <c r="R463" i="1" s="1"/>
  <c r="O464" i="1"/>
  <c r="Q464" i="1" s="1"/>
  <c r="R464" i="1" s="1"/>
  <c r="O465" i="1"/>
  <c r="Q465" i="1" s="1"/>
  <c r="R465" i="1" s="1"/>
  <c r="O466" i="1"/>
  <c r="Q466" i="1" s="1"/>
  <c r="R466" i="1" s="1"/>
  <c r="O467" i="1"/>
  <c r="Q467" i="1" s="1"/>
  <c r="R467" i="1" s="1"/>
  <c r="O468" i="1"/>
  <c r="Q468" i="1" s="1"/>
  <c r="R468" i="1" s="1"/>
  <c r="O469" i="1"/>
  <c r="Q469" i="1" s="1"/>
  <c r="R469" i="1" s="1"/>
  <c r="O470" i="1"/>
  <c r="Q470" i="1" s="1"/>
  <c r="R470" i="1" s="1"/>
  <c r="O471" i="1"/>
  <c r="Q471" i="1" s="1"/>
  <c r="R471" i="1" s="1"/>
  <c r="O472" i="1"/>
  <c r="Q472" i="1" s="1"/>
  <c r="R472" i="1" s="1"/>
  <c r="O473" i="1"/>
  <c r="Q473" i="1" s="1"/>
  <c r="R473" i="1" s="1"/>
  <c r="O474" i="1"/>
  <c r="Q474" i="1" s="1"/>
  <c r="R474" i="1" s="1"/>
  <c r="O475" i="1"/>
  <c r="Q475" i="1" s="1"/>
  <c r="R475" i="1" s="1"/>
  <c r="O476" i="1"/>
  <c r="Q476" i="1" s="1"/>
  <c r="R476" i="1" s="1"/>
  <c r="O477" i="1"/>
  <c r="Q477" i="1" s="1"/>
  <c r="R477" i="1" s="1"/>
  <c r="O478" i="1"/>
  <c r="Q478" i="1" s="1"/>
  <c r="R478" i="1" s="1"/>
  <c r="O479" i="1"/>
  <c r="Q479" i="1" s="1"/>
  <c r="R479" i="1" s="1"/>
  <c r="O480" i="1"/>
  <c r="Q480" i="1" s="1"/>
  <c r="R480" i="1" s="1"/>
  <c r="O481" i="1"/>
  <c r="Q481" i="1" s="1"/>
  <c r="R481" i="1" s="1"/>
  <c r="O482" i="1"/>
  <c r="Q482" i="1" s="1"/>
  <c r="R482" i="1" s="1"/>
  <c r="O483" i="1"/>
  <c r="Q483" i="1" s="1"/>
  <c r="R483" i="1" s="1"/>
  <c r="O484" i="1"/>
  <c r="Q484" i="1" s="1"/>
  <c r="R484" i="1" s="1"/>
  <c r="O485" i="1"/>
  <c r="Q485" i="1" s="1"/>
  <c r="R485" i="1" s="1"/>
  <c r="O486" i="1"/>
  <c r="Q486" i="1" s="1"/>
  <c r="R486" i="1" s="1"/>
  <c r="O487" i="1"/>
  <c r="Q487" i="1" s="1"/>
  <c r="R487" i="1" s="1"/>
  <c r="O488" i="1"/>
  <c r="Q488" i="1" s="1"/>
  <c r="R488" i="1" s="1"/>
  <c r="O489" i="1"/>
  <c r="Q489" i="1" s="1"/>
  <c r="R489" i="1" s="1"/>
  <c r="O490" i="1"/>
  <c r="Q490" i="1" s="1"/>
  <c r="R490" i="1" s="1"/>
  <c r="O491" i="1"/>
  <c r="Q491" i="1" s="1"/>
  <c r="R491" i="1" s="1"/>
  <c r="O492" i="1"/>
  <c r="Q492" i="1" s="1"/>
  <c r="R492" i="1" s="1"/>
  <c r="O493" i="1"/>
  <c r="Q493" i="1" s="1"/>
  <c r="R493" i="1" s="1"/>
  <c r="O494" i="1"/>
  <c r="Q494" i="1" s="1"/>
  <c r="R494" i="1" s="1"/>
  <c r="O495" i="1"/>
  <c r="Q495" i="1" s="1"/>
  <c r="R495" i="1" s="1"/>
  <c r="O496" i="1"/>
  <c r="Q496" i="1" s="1"/>
  <c r="R496" i="1" s="1"/>
  <c r="O497" i="1"/>
  <c r="Q497" i="1" s="1"/>
  <c r="R497" i="1" s="1"/>
  <c r="O498" i="1"/>
  <c r="Q498" i="1" s="1"/>
  <c r="R498" i="1" s="1"/>
  <c r="O499" i="1"/>
  <c r="Q499" i="1" s="1"/>
  <c r="R499" i="1" s="1"/>
  <c r="O500" i="1"/>
  <c r="Q500" i="1" s="1"/>
  <c r="R500" i="1" s="1"/>
  <c r="O501" i="1"/>
  <c r="Q501" i="1" s="1"/>
  <c r="R501" i="1" s="1"/>
  <c r="O502" i="1"/>
  <c r="Q502" i="1" s="1"/>
  <c r="R502" i="1" s="1"/>
  <c r="O503" i="1"/>
  <c r="Q503" i="1" s="1"/>
  <c r="R503" i="1" s="1"/>
  <c r="O504" i="1"/>
  <c r="Q504" i="1" s="1"/>
  <c r="R504" i="1" s="1"/>
  <c r="O505" i="1"/>
  <c r="Q505" i="1" s="1"/>
  <c r="R505" i="1" s="1"/>
  <c r="O506" i="1"/>
  <c r="Q506" i="1" s="1"/>
  <c r="R506" i="1" s="1"/>
  <c r="O507" i="1"/>
  <c r="Q507" i="1" s="1"/>
  <c r="R507" i="1" s="1"/>
  <c r="O508" i="1"/>
  <c r="Q508" i="1" s="1"/>
  <c r="R508" i="1" s="1"/>
  <c r="O509" i="1"/>
  <c r="Q509" i="1" s="1"/>
  <c r="R509" i="1" s="1"/>
  <c r="O510" i="1"/>
  <c r="Q510" i="1" s="1"/>
  <c r="R510" i="1" s="1"/>
  <c r="O511" i="1"/>
  <c r="Q511" i="1" s="1"/>
  <c r="R511" i="1" s="1"/>
  <c r="O512" i="1"/>
  <c r="Q512" i="1" s="1"/>
  <c r="R512" i="1" s="1"/>
  <c r="O513" i="1"/>
  <c r="Q513" i="1" s="1"/>
  <c r="R513" i="1" s="1"/>
  <c r="O514" i="1"/>
  <c r="Q514" i="1" s="1"/>
  <c r="R514" i="1" s="1"/>
  <c r="O515" i="1"/>
  <c r="Q515" i="1" s="1"/>
  <c r="R515" i="1" s="1"/>
  <c r="O516" i="1"/>
  <c r="Q516" i="1" s="1"/>
  <c r="R516" i="1" s="1"/>
  <c r="O517" i="1"/>
  <c r="Q517" i="1" s="1"/>
  <c r="R517" i="1" s="1"/>
  <c r="O518" i="1"/>
  <c r="Q518" i="1" s="1"/>
  <c r="R518" i="1" s="1"/>
  <c r="O519" i="1"/>
  <c r="Q519" i="1" s="1"/>
  <c r="R519" i="1" s="1"/>
  <c r="O520" i="1"/>
  <c r="Q520" i="1" s="1"/>
  <c r="R520" i="1" s="1"/>
  <c r="O521" i="1"/>
  <c r="Q521" i="1" s="1"/>
  <c r="R521" i="1" s="1"/>
  <c r="O522" i="1"/>
  <c r="Q522" i="1" s="1"/>
  <c r="R522" i="1" s="1"/>
  <c r="O523" i="1"/>
  <c r="Q523" i="1" s="1"/>
  <c r="R523" i="1" s="1"/>
  <c r="O524" i="1"/>
  <c r="Q524" i="1" s="1"/>
  <c r="R524" i="1" s="1"/>
  <c r="O525" i="1"/>
  <c r="Q525" i="1" s="1"/>
  <c r="R525" i="1" s="1"/>
  <c r="O526" i="1"/>
  <c r="Q526" i="1" s="1"/>
  <c r="R526" i="1" s="1"/>
  <c r="O527" i="1"/>
  <c r="Q527" i="1" s="1"/>
  <c r="R527" i="1" s="1"/>
  <c r="O528" i="1"/>
  <c r="Q528" i="1" s="1"/>
  <c r="R528" i="1" s="1"/>
  <c r="O529" i="1"/>
  <c r="Q529" i="1" s="1"/>
  <c r="R529" i="1" s="1"/>
  <c r="O530" i="1"/>
  <c r="Q530" i="1" s="1"/>
  <c r="R530" i="1" s="1"/>
  <c r="O531" i="1"/>
  <c r="Q531" i="1" s="1"/>
  <c r="R531" i="1" s="1"/>
  <c r="O532" i="1"/>
  <c r="Q532" i="1" s="1"/>
  <c r="R532" i="1" s="1"/>
  <c r="O533" i="1"/>
  <c r="Q533" i="1" s="1"/>
  <c r="R533" i="1" s="1"/>
  <c r="O534" i="1"/>
  <c r="Q534" i="1" s="1"/>
  <c r="R534" i="1" s="1"/>
  <c r="O535" i="1"/>
  <c r="Q535" i="1" s="1"/>
  <c r="R535" i="1" s="1"/>
  <c r="O536" i="1"/>
  <c r="Q536" i="1" s="1"/>
  <c r="R536" i="1" s="1"/>
  <c r="O537" i="1"/>
  <c r="Q537" i="1" s="1"/>
  <c r="R537" i="1" s="1"/>
  <c r="O538" i="1"/>
  <c r="Q538" i="1" s="1"/>
  <c r="R538" i="1" s="1"/>
  <c r="O539" i="1"/>
  <c r="Q539" i="1" s="1"/>
  <c r="R539" i="1" s="1"/>
  <c r="O540" i="1"/>
  <c r="Q540" i="1" s="1"/>
  <c r="R540" i="1" s="1"/>
  <c r="O541" i="1"/>
  <c r="Q541" i="1" s="1"/>
  <c r="R541" i="1" s="1"/>
  <c r="O542" i="1"/>
  <c r="Q542" i="1" s="1"/>
  <c r="R542" i="1" s="1"/>
  <c r="O543" i="1"/>
  <c r="Q543" i="1" s="1"/>
  <c r="R543" i="1" s="1"/>
  <c r="O544" i="1"/>
  <c r="Q544" i="1" s="1"/>
  <c r="R544" i="1" s="1"/>
  <c r="O545" i="1"/>
  <c r="Q545" i="1" s="1"/>
  <c r="R545" i="1" s="1"/>
  <c r="O546" i="1"/>
  <c r="Q546" i="1" s="1"/>
  <c r="R546" i="1" s="1"/>
  <c r="O547" i="1"/>
  <c r="Q547" i="1" s="1"/>
  <c r="R547" i="1" s="1"/>
  <c r="O548" i="1"/>
  <c r="Q548" i="1" s="1"/>
  <c r="R548" i="1" s="1"/>
  <c r="O549" i="1"/>
  <c r="Q549" i="1" s="1"/>
  <c r="R549" i="1" s="1"/>
  <c r="O550" i="1"/>
  <c r="O551" i="1"/>
  <c r="Q551" i="1" s="1"/>
  <c r="R551" i="1" s="1"/>
  <c r="O552" i="1"/>
  <c r="Q552" i="1" s="1"/>
  <c r="R552" i="1" s="1"/>
  <c r="O553" i="1"/>
  <c r="Q553" i="1" s="1"/>
  <c r="R553" i="1" s="1"/>
  <c r="O554" i="1"/>
  <c r="Q554" i="1" s="1"/>
  <c r="R554" i="1" s="1"/>
  <c r="O555" i="1"/>
  <c r="Q555" i="1" s="1"/>
  <c r="R555" i="1" s="1"/>
  <c r="O556" i="1"/>
  <c r="Q556" i="1" s="1"/>
  <c r="R556" i="1" s="1"/>
  <c r="O557" i="1"/>
  <c r="Q557" i="1" s="1"/>
  <c r="R557" i="1" s="1"/>
  <c r="O558" i="1"/>
  <c r="Q558" i="1" s="1"/>
  <c r="R558" i="1" s="1"/>
  <c r="O559" i="1"/>
  <c r="Q559" i="1" s="1"/>
  <c r="R559" i="1" s="1"/>
  <c r="O560" i="1"/>
  <c r="Q560" i="1" s="1"/>
  <c r="R560" i="1" s="1"/>
  <c r="O561" i="1"/>
  <c r="Q561" i="1" s="1"/>
  <c r="R561" i="1" s="1"/>
  <c r="O562" i="1"/>
  <c r="Q562" i="1" s="1"/>
  <c r="R562" i="1" s="1"/>
  <c r="O563" i="1"/>
  <c r="Q563" i="1" s="1"/>
  <c r="R563" i="1" s="1"/>
  <c r="O564" i="1"/>
  <c r="Q564" i="1" s="1"/>
  <c r="R564" i="1" s="1"/>
  <c r="O565" i="1"/>
  <c r="Q565" i="1" s="1"/>
  <c r="R565" i="1" s="1"/>
  <c r="O566" i="1"/>
  <c r="Q566" i="1" s="1"/>
  <c r="R566" i="1" s="1"/>
  <c r="O567" i="1"/>
  <c r="Q567" i="1" s="1"/>
  <c r="R567" i="1" s="1"/>
  <c r="O568" i="1"/>
  <c r="Q568" i="1" s="1"/>
  <c r="R568" i="1" s="1"/>
  <c r="O569" i="1"/>
  <c r="Q569" i="1" s="1"/>
  <c r="R569" i="1" s="1"/>
  <c r="O570" i="1"/>
  <c r="Q570" i="1" s="1"/>
  <c r="R570" i="1" s="1"/>
  <c r="O571" i="1"/>
  <c r="Q571" i="1" s="1"/>
  <c r="R571" i="1" s="1"/>
  <c r="O572" i="1"/>
  <c r="Q572" i="1" s="1"/>
  <c r="R572" i="1" s="1"/>
  <c r="O573" i="1"/>
  <c r="Q573" i="1" s="1"/>
  <c r="R573" i="1" s="1"/>
  <c r="O574" i="1"/>
  <c r="Q574" i="1" s="1"/>
  <c r="R574" i="1" s="1"/>
  <c r="O575" i="1"/>
  <c r="Q575" i="1" s="1"/>
  <c r="R575" i="1" s="1"/>
  <c r="O576" i="1"/>
  <c r="Q576" i="1" s="1"/>
  <c r="R576" i="1" s="1"/>
  <c r="O577" i="1"/>
  <c r="Q577" i="1" s="1"/>
  <c r="R577" i="1" s="1"/>
  <c r="O578" i="1"/>
  <c r="Q578" i="1" s="1"/>
  <c r="R578" i="1" s="1"/>
  <c r="O579" i="1"/>
  <c r="Q579" i="1" s="1"/>
  <c r="R579" i="1" s="1"/>
  <c r="O580" i="1"/>
  <c r="Q580" i="1" s="1"/>
  <c r="R580" i="1" s="1"/>
  <c r="O581" i="1"/>
  <c r="Q581" i="1" s="1"/>
  <c r="R581" i="1" s="1"/>
  <c r="O582" i="1"/>
  <c r="Q582" i="1" s="1"/>
  <c r="R582" i="1" s="1"/>
  <c r="O583" i="1"/>
  <c r="Q583" i="1" s="1"/>
  <c r="R583" i="1" s="1"/>
  <c r="O584" i="1"/>
  <c r="Q584" i="1" s="1"/>
  <c r="R584" i="1" s="1"/>
  <c r="O585" i="1"/>
  <c r="Q585" i="1" s="1"/>
  <c r="R585" i="1" s="1"/>
  <c r="O586" i="1"/>
  <c r="Q586" i="1" s="1"/>
  <c r="R586" i="1" s="1"/>
  <c r="O587" i="1"/>
  <c r="Q587" i="1" s="1"/>
  <c r="R587" i="1" s="1"/>
  <c r="O588" i="1"/>
  <c r="Q588" i="1" s="1"/>
  <c r="R588" i="1" s="1"/>
  <c r="O589" i="1"/>
  <c r="Q589" i="1" s="1"/>
  <c r="R589" i="1" s="1"/>
  <c r="O590" i="1"/>
  <c r="Q590" i="1" s="1"/>
  <c r="R590" i="1" s="1"/>
  <c r="O591" i="1"/>
  <c r="Q591" i="1" s="1"/>
  <c r="R591" i="1" s="1"/>
  <c r="O592" i="1"/>
  <c r="Q592" i="1" s="1"/>
  <c r="R592" i="1" s="1"/>
  <c r="O593" i="1"/>
  <c r="Q593" i="1" s="1"/>
  <c r="R593" i="1" s="1"/>
  <c r="O594" i="1"/>
  <c r="Q594" i="1" s="1"/>
  <c r="R594" i="1" s="1"/>
  <c r="O595" i="1"/>
  <c r="Q595" i="1" s="1"/>
  <c r="R595" i="1" s="1"/>
  <c r="O596" i="1"/>
  <c r="Q596" i="1" s="1"/>
  <c r="R596" i="1" s="1"/>
  <c r="O597" i="1"/>
  <c r="Q597" i="1" s="1"/>
  <c r="R597" i="1" s="1"/>
  <c r="O598" i="1"/>
  <c r="Q598" i="1" s="1"/>
  <c r="R598" i="1" s="1"/>
  <c r="O599" i="1"/>
  <c r="Q599" i="1" s="1"/>
  <c r="R599" i="1" s="1"/>
  <c r="O600" i="1"/>
  <c r="Q600" i="1" s="1"/>
  <c r="R600" i="1" s="1"/>
  <c r="O601" i="1"/>
  <c r="Q601" i="1" s="1"/>
  <c r="R601" i="1" s="1"/>
  <c r="O602" i="1"/>
  <c r="Q602" i="1" s="1"/>
  <c r="R602" i="1" s="1"/>
  <c r="O603" i="1"/>
  <c r="Q603" i="1" s="1"/>
  <c r="R603" i="1" s="1"/>
  <c r="O604" i="1"/>
  <c r="Q604" i="1" s="1"/>
  <c r="R604" i="1" s="1"/>
  <c r="O605" i="1"/>
  <c r="Q605" i="1" s="1"/>
  <c r="R605" i="1" s="1"/>
  <c r="O606" i="1"/>
  <c r="Q606" i="1" s="1"/>
  <c r="R606" i="1" s="1"/>
  <c r="O607" i="1"/>
  <c r="Q607" i="1" s="1"/>
  <c r="R607" i="1" s="1"/>
  <c r="O608" i="1"/>
  <c r="Q608" i="1" s="1"/>
  <c r="R608" i="1" s="1"/>
  <c r="O609" i="1"/>
  <c r="Q609" i="1" s="1"/>
  <c r="R609" i="1" s="1"/>
  <c r="O610" i="1"/>
  <c r="Q610" i="1" s="1"/>
  <c r="R610" i="1" s="1"/>
  <c r="O611" i="1"/>
  <c r="Q611" i="1" s="1"/>
  <c r="R611" i="1" s="1"/>
  <c r="O612" i="1"/>
  <c r="Q612" i="1" s="1"/>
  <c r="R612" i="1" s="1"/>
  <c r="O613" i="1"/>
  <c r="Q613" i="1" s="1"/>
  <c r="R613" i="1" s="1"/>
  <c r="O614" i="1"/>
  <c r="Q614" i="1" s="1"/>
  <c r="R614" i="1" s="1"/>
  <c r="O615" i="1"/>
  <c r="Q615" i="1" s="1"/>
  <c r="R615" i="1" s="1"/>
  <c r="O616" i="1"/>
  <c r="Q616" i="1" s="1"/>
  <c r="R616" i="1" s="1"/>
  <c r="O617" i="1"/>
  <c r="Q617" i="1" s="1"/>
  <c r="R617" i="1" s="1"/>
  <c r="O618" i="1"/>
  <c r="Q618" i="1" s="1"/>
  <c r="R618" i="1" s="1"/>
  <c r="O619" i="1"/>
  <c r="Q619" i="1" s="1"/>
  <c r="R619" i="1" s="1"/>
  <c r="O620" i="1"/>
  <c r="Q620" i="1" s="1"/>
  <c r="R620" i="1" s="1"/>
  <c r="O621" i="1"/>
  <c r="Q621" i="1" s="1"/>
  <c r="R621" i="1" s="1"/>
  <c r="O622" i="1"/>
  <c r="Q622" i="1" s="1"/>
  <c r="R622" i="1" s="1"/>
  <c r="O623" i="1"/>
  <c r="Q623" i="1" s="1"/>
  <c r="R623" i="1" s="1"/>
  <c r="O624" i="1"/>
  <c r="Q624" i="1" s="1"/>
  <c r="R624" i="1" s="1"/>
  <c r="O625" i="1"/>
  <c r="Q625" i="1" s="1"/>
  <c r="R625" i="1" s="1"/>
  <c r="O626" i="1"/>
  <c r="Q626" i="1" s="1"/>
  <c r="R626" i="1" s="1"/>
  <c r="O627" i="1"/>
  <c r="Q627" i="1" s="1"/>
  <c r="R627" i="1" s="1"/>
  <c r="O628" i="1"/>
  <c r="Q628" i="1" s="1"/>
  <c r="R628" i="1" s="1"/>
  <c r="O629" i="1"/>
  <c r="Q629" i="1" s="1"/>
  <c r="R629" i="1" s="1"/>
  <c r="O630" i="1"/>
  <c r="Q630" i="1" s="1"/>
  <c r="R630" i="1" s="1"/>
  <c r="O631" i="1"/>
  <c r="Q631" i="1" s="1"/>
  <c r="R631" i="1" s="1"/>
  <c r="O632" i="1"/>
  <c r="Q632" i="1" s="1"/>
  <c r="R632" i="1" s="1"/>
  <c r="O633" i="1"/>
  <c r="Q633" i="1" s="1"/>
  <c r="R633" i="1" s="1"/>
  <c r="O634" i="1"/>
  <c r="Q634" i="1" s="1"/>
  <c r="R634" i="1" s="1"/>
  <c r="O635" i="1"/>
  <c r="Q635" i="1" s="1"/>
  <c r="R635" i="1" s="1"/>
  <c r="O636" i="1"/>
  <c r="Q636" i="1" s="1"/>
  <c r="R636" i="1" s="1"/>
  <c r="O637" i="1"/>
  <c r="Q637" i="1" s="1"/>
  <c r="R637" i="1" s="1"/>
  <c r="O638" i="1"/>
  <c r="Q638" i="1" s="1"/>
  <c r="R638" i="1" s="1"/>
  <c r="O639" i="1"/>
  <c r="Q639" i="1" s="1"/>
  <c r="R639" i="1" s="1"/>
  <c r="O640" i="1"/>
  <c r="Q640" i="1" s="1"/>
  <c r="R640" i="1" s="1"/>
  <c r="O641" i="1"/>
  <c r="Q641" i="1" s="1"/>
  <c r="R641" i="1" s="1"/>
  <c r="O642" i="1"/>
  <c r="Q642" i="1" s="1"/>
  <c r="R642" i="1" s="1"/>
  <c r="O643" i="1"/>
  <c r="Q643" i="1" s="1"/>
  <c r="R643" i="1" s="1"/>
  <c r="O644" i="1"/>
  <c r="Q644" i="1" s="1"/>
  <c r="R644" i="1" s="1"/>
  <c r="O645" i="1"/>
  <c r="Q645" i="1" s="1"/>
  <c r="R645" i="1" s="1"/>
  <c r="O646" i="1"/>
  <c r="Q646" i="1" s="1"/>
  <c r="R646" i="1" s="1"/>
  <c r="O647" i="1"/>
  <c r="Q647" i="1" s="1"/>
  <c r="R647" i="1" s="1"/>
  <c r="O648" i="1"/>
  <c r="Q648" i="1" s="1"/>
  <c r="R648" i="1" s="1"/>
  <c r="O649" i="1"/>
  <c r="Q649" i="1" s="1"/>
  <c r="R649" i="1" s="1"/>
  <c r="O650" i="1"/>
  <c r="Q650" i="1" s="1"/>
  <c r="R650" i="1" s="1"/>
  <c r="O651" i="1"/>
  <c r="Q651" i="1" s="1"/>
  <c r="R651" i="1" s="1"/>
  <c r="O652" i="1"/>
  <c r="Q652" i="1" s="1"/>
  <c r="R652" i="1" s="1"/>
  <c r="O653" i="1"/>
  <c r="Q653" i="1" s="1"/>
  <c r="R653" i="1" s="1"/>
  <c r="O654" i="1"/>
  <c r="Q654" i="1" s="1"/>
  <c r="R654" i="1" s="1"/>
  <c r="O655" i="1"/>
  <c r="Q655" i="1" s="1"/>
  <c r="R655" i="1" s="1"/>
  <c r="O656" i="1"/>
  <c r="Q656" i="1" s="1"/>
  <c r="R656" i="1" s="1"/>
  <c r="O657" i="1"/>
  <c r="Q657" i="1" s="1"/>
  <c r="R657" i="1" s="1"/>
  <c r="O658" i="1"/>
  <c r="Q658" i="1" s="1"/>
  <c r="R658" i="1" s="1"/>
  <c r="O659" i="1"/>
  <c r="Q659" i="1" s="1"/>
  <c r="R659" i="1" s="1"/>
  <c r="O660" i="1"/>
  <c r="Q660" i="1" s="1"/>
  <c r="R660" i="1" s="1"/>
  <c r="O661" i="1"/>
  <c r="Q661" i="1" s="1"/>
  <c r="R661" i="1" s="1"/>
  <c r="O662" i="1"/>
  <c r="Q662" i="1" s="1"/>
  <c r="R662" i="1" s="1"/>
  <c r="O663" i="1"/>
  <c r="Q663" i="1" s="1"/>
  <c r="R663" i="1" s="1"/>
  <c r="O664" i="1"/>
  <c r="Q664" i="1" s="1"/>
  <c r="R664" i="1" s="1"/>
  <c r="O665" i="1"/>
  <c r="Q665" i="1" s="1"/>
  <c r="R665" i="1" s="1"/>
  <c r="O666" i="1"/>
  <c r="Q666" i="1" s="1"/>
  <c r="R666" i="1" s="1"/>
  <c r="O667" i="1"/>
  <c r="Q667" i="1" s="1"/>
  <c r="R667" i="1" s="1"/>
  <c r="O668" i="1"/>
  <c r="Q668" i="1" s="1"/>
  <c r="R668" i="1" s="1"/>
  <c r="O669" i="1"/>
  <c r="Q669" i="1" s="1"/>
  <c r="R669" i="1" s="1"/>
  <c r="O670" i="1"/>
  <c r="Q670" i="1" s="1"/>
  <c r="R670" i="1" s="1"/>
  <c r="O671" i="1"/>
  <c r="Q671" i="1" s="1"/>
  <c r="R671" i="1" s="1"/>
  <c r="O672" i="1"/>
  <c r="Q672" i="1" s="1"/>
  <c r="R672" i="1" s="1"/>
  <c r="O673" i="1"/>
  <c r="Q673" i="1" s="1"/>
  <c r="R673" i="1" s="1"/>
  <c r="O674" i="1"/>
  <c r="Q674" i="1" s="1"/>
  <c r="R674" i="1" s="1"/>
  <c r="O675" i="1"/>
  <c r="Q675" i="1" s="1"/>
  <c r="R675" i="1" s="1"/>
  <c r="O676" i="1"/>
  <c r="Q676" i="1" s="1"/>
  <c r="R676" i="1" s="1"/>
  <c r="O677" i="1"/>
  <c r="Q677" i="1" s="1"/>
  <c r="R677" i="1" s="1"/>
  <c r="O678" i="1"/>
  <c r="Q678" i="1" s="1"/>
  <c r="R678" i="1" s="1"/>
  <c r="O679" i="1"/>
  <c r="Q679" i="1" s="1"/>
  <c r="R679" i="1" s="1"/>
  <c r="O680" i="1"/>
  <c r="Q680" i="1" s="1"/>
  <c r="R680" i="1" s="1"/>
  <c r="O681" i="1"/>
  <c r="Q681" i="1" s="1"/>
  <c r="R681" i="1" s="1"/>
  <c r="O682" i="1"/>
  <c r="Q682" i="1" s="1"/>
  <c r="R682" i="1" s="1"/>
  <c r="O683" i="1"/>
  <c r="Q683" i="1" s="1"/>
  <c r="R683" i="1" s="1"/>
  <c r="O684" i="1"/>
  <c r="Q684" i="1" s="1"/>
  <c r="R684" i="1" s="1"/>
  <c r="O685" i="1"/>
  <c r="Q685" i="1" s="1"/>
  <c r="R685" i="1" s="1"/>
  <c r="O686" i="1"/>
  <c r="Q686" i="1" s="1"/>
  <c r="R686" i="1" s="1"/>
  <c r="O687" i="1"/>
  <c r="Q687" i="1" s="1"/>
  <c r="R687" i="1" s="1"/>
  <c r="O688" i="1"/>
  <c r="Q688" i="1" s="1"/>
  <c r="R688" i="1" s="1"/>
  <c r="O689" i="1"/>
  <c r="Q689" i="1" s="1"/>
  <c r="R689" i="1" s="1"/>
  <c r="O690" i="1"/>
  <c r="Q690" i="1" s="1"/>
  <c r="R690" i="1" s="1"/>
  <c r="O691" i="1"/>
  <c r="Q691" i="1" s="1"/>
  <c r="R691" i="1" s="1"/>
  <c r="O692" i="1"/>
  <c r="Q692" i="1" s="1"/>
  <c r="R692" i="1" s="1"/>
  <c r="O693" i="1"/>
  <c r="Q693" i="1" s="1"/>
  <c r="R693" i="1" s="1"/>
  <c r="O694" i="1"/>
  <c r="Q694" i="1" s="1"/>
  <c r="R694" i="1" s="1"/>
  <c r="O695" i="1"/>
  <c r="Q695" i="1" s="1"/>
  <c r="R695" i="1" s="1"/>
  <c r="O696" i="1"/>
  <c r="Q696" i="1" s="1"/>
  <c r="R696" i="1" s="1"/>
  <c r="O697" i="1"/>
  <c r="Q697" i="1" s="1"/>
  <c r="R697" i="1" s="1"/>
  <c r="O698" i="1"/>
  <c r="Q698" i="1" s="1"/>
  <c r="R698" i="1" s="1"/>
  <c r="O699" i="1"/>
  <c r="Q699" i="1" s="1"/>
  <c r="R699" i="1" s="1"/>
  <c r="O700" i="1"/>
  <c r="Q700" i="1" s="1"/>
  <c r="R700" i="1" s="1"/>
  <c r="O701" i="1"/>
  <c r="Q701" i="1" s="1"/>
  <c r="R701" i="1" s="1"/>
  <c r="O702" i="1"/>
  <c r="Q702" i="1" s="1"/>
  <c r="R702" i="1" s="1"/>
  <c r="O703" i="1"/>
  <c r="Q703" i="1" s="1"/>
  <c r="R703" i="1" s="1"/>
  <c r="O704" i="1"/>
  <c r="Q704" i="1" s="1"/>
  <c r="R704" i="1" s="1"/>
  <c r="O705" i="1"/>
  <c r="Q705" i="1" s="1"/>
  <c r="R705" i="1" s="1"/>
  <c r="O706" i="1"/>
  <c r="Q706" i="1" s="1"/>
  <c r="R706" i="1" s="1"/>
  <c r="O707" i="1"/>
  <c r="Q707" i="1" s="1"/>
  <c r="R707" i="1" s="1"/>
  <c r="O708" i="1"/>
  <c r="Q708" i="1" s="1"/>
  <c r="R708" i="1" s="1"/>
  <c r="O709" i="1"/>
  <c r="Q709" i="1" s="1"/>
  <c r="R709" i="1" s="1"/>
  <c r="O710" i="1"/>
  <c r="Q710" i="1" s="1"/>
  <c r="R710" i="1" s="1"/>
  <c r="O711" i="1"/>
  <c r="Q711" i="1" s="1"/>
  <c r="R711" i="1" s="1"/>
  <c r="O712" i="1"/>
  <c r="Q712" i="1" s="1"/>
  <c r="R712" i="1" s="1"/>
  <c r="O713" i="1"/>
  <c r="Q713" i="1" s="1"/>
  <c r="R713" i="1" s="1"/>
  <c r="O714" i="1"/>
  <c r="Q714" i="1" s="1"/>
  <c r="O715" i="1"/>
  <c r="Q715" i="1" s="1"/>
  <c r="R715" i="1" s="1"/>
  <c r="O716" i="1"/>
  <c r="Q716" i="1" s="1"/>
  <c r="R716" i="1" s="1"/>
  <c r="O717" i="1"/>
  <c r="Q717" i="1" s="1"/>
  <c r="R717" i="1" s="1"/>
  <c r="O718" i="1"/>
  <c r="Q718" i="1" s="1"/>
  <c r="R718" i="1" s="1"/>
  <c r="O719" i="1"/>
  <c r="Q719" i="1" s="1"/>
  <c r="R719" i="1" s="1"/>
  <c r="O720" i="1"/>
  <c r="Q720" i="1" s="1"/>
  <c r="R720" i="1" s="1"/>
  <c r="O721" i="1"/>
  <c r="Q721" i="1" s="1"/>
  <c r="R721" i="1" s="1"/>
  <c r="O722" i="1"/>
  <c r="Q722" i="1" s="1"/>
  <c r="R722" i="1" s="1"/>
  <c r="O723" i="1"/>
  <c r="Q723" i="1" s="1"/>
  <c r="R723" i="1" s="1"/>
  <c r="O724" i="1"/>
  <c r="Q724" i="1" s="1"/>
  <c r="R724" i="1" s="1"/>
  <c r="O725" i="1"/>
  <c r="Q725" i="1" s="1"/>
  <c r="R725" i="1" s="1"/>
  <c r="O726" i="1"/>
  <c r="Q726" i="1" s="1"/>
  <c r="R726" i="1" s="1"/>
  <c r="O727" i="1"/>
  <c r="Q727" i="1" s="1"/>
  <c r="R727" i="1" s="1"/>
  <c r="O728" i="1"/>
  <c r="Q728" i="1" s="1"/>
  <c r="R728" i="1" s="1"/>
  <c r="O729" i="1"/>
  <c r="Q729" i="1" s="1"/>
  <c r="R729" i="1" s="1"/>
  <c r="O730" i="1"/>
  <c r="Q730" i="1" s="1"/>
  <c r="R730" i="1" s="1"/>
  <c r="O731" i="1"/>
  <c r="Q731" i="1" s="1"/>
  <c r="R731" i="1" s="1"/>
  <c r="O732" i="1"/>
  <c r="Q732" i="1" s="1"/>
  <c r="R732" i="1" s="1"/>
  <c r="O733" i="1"/>
  <c r="Q733" i="1" s="1"/>
  <c r="R733" i="1" s="1"/>
  <c r="O734" i="1"/>
  <c r="Q734" i="1" s="1"/>
  <c r="R734" i="1" s="1"/>
  <c r="O735" i="1"/>
  <c r="Q735" i="1" s="1"/>
  <c r="R735" i="1" s="1"/>
  <c r="O736" i="1"/>
  <c r="Q736" i="1" s="1"/>
  <c r="R736" i="1" s="1"/>
  <c r="O737" i="1"/>
  <c r="Q737" i="1" s="1"/>
  <c r="R737" i="1" s="1"/>
  <c r="O738" i="1"/>
  <c r="Q738" i="1" s="1"/>
  <c r="R738" i="1" s="1"/>
  <c r="O739" i="1"/>
  <c r="Q739" i="1" s="1"/>
  <c r="R739" i="1" s="1"/>
  <c r="O740" i="1"/>
  <c r="Q740" i="1" s="1"/>
  <c r="R740" i="1" s="1"/>
  <c r="O741" i="1"/>
  <c r="Q741" i="1" s="1"/>
  <c r="R741" i="1" s="1"/>
  <c r="O742" i="1"/>
  <c r="Q742" i="1" s="1"/>
  <c r="R742" i="1" s="1"/>
  <c r="O743" i="1"/>
  <c r="Q743" i="1" s="1"/>
  <c r="R743" i="1" s="1"/>
  <c r="O744" i="1"/>
  <c r="Q744" i="1" s="1"/>
  <c r="R744" i="1" s="1"/>
  <c r="O745" i="1"/>
  <c r="Q745" i="1" s="1"/>
  <c r="R745" i="1" s="1"/>
  <c r="O746" i="1"/>
  <c r="Q746" i="1" s="1"/>
  <c r="O747" i="1"/>
  <c r="Q747" i="1" s="1"/>
  <c r="R747" i="1" s="1"/>
  <c r="O748" i="1"/>
  <c r="Q748" i="1" s="1"/>
  <c r="R748" i="1" s="1"/>
  <c r="O749" i="1"/>
  <c r="Q749" i="1" s="1"/>
  <c r="R749" i="1" s="1"/>
  <c r="O750" i="1"/>
  <c r="Q750" i="1" s="1"/>
  <c r="R750" i="1" s="1"/>
  <c r="O751" i="1"/>
  <c r="Q751" i="1" s="1"/>
  <c r="R751" i="1" s="1"/>
  <c r="O752" i="1"/>
  <c r="Q752" i="1" s="1"/>
  <c r="R752" i="1" s="1"/>
  <c r="O753" i="1"/>
  <c r="Q753" i="1" s="1"/>
  <c r="R753" i="1" s="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Q2" i="1" l="1"/>
</calcChain>
</file>

<file path=xl/sharedStrings.xml><?xml version="1.0" encoding="utf-8"?>
<sst xmlns="http://schemas.openxmlformats.org/spreadsheetml/2006/main" count="4705" uniqueCount="190">
  <si>
    <t>Date</t>
  </si>
  <si>
    <t>Customer_Age</t>
  </si>
  <si>
    <t>Country</t>
  </si>
  <si>
    <t>State</t>
  </si>
  <si>
    <t>Sub_Category</t>
  </si>
  <si>
    <t>Product</t>
  </si>
  <si>
    <t>Order_Quantity</t>
  </si>
  <si>
    <t>Unit_Cost</t>
  </si>
  <si>
    <t>Unit_Price</t>
  </si>
  <si>
    <t>United States</t>
  </si>
  <si>
    <t>California</t>
  </si>
  <si>
    <t>Road Bikes</t>
  </si>
  <si>
    <t>Road-550-W Yellow, 40</t>
  </si>
  <si>
    <t>Canada</t>
  </si>
  <si>
    <t>Road-650 Red, 44</t>
  </si>
  <si>
    <t>England</t>
  </si>
  <si>
    <t>Mountain Bikes</t>
  </si>
  <si>
    <t>Mountain-200 Black, 38</t>
  </si>
  <si>
    <t>Australia</t>
  </si>
  <si>
    <t>Queensland</t>
  </si>
  <si>
    <t>Road-350-W Yellow, 40</t>
  </si>
  <si>
    <t>South Australia</t>
  </si>
  <si>
    <t>Mountain-200 Silver, 38</t>
  </si>
  <si>
    <t>Road-650 Red, 62</t>
  </si>
  <si>
    <t>New South Wales</t>
  </si>
  <si>
    <t>Mountain-200 Black, 42</t>
  </si>
  <si>
    <t>Road-150 Red, 56</t>
  </si>
  <si>
    <t>Road-350-W Yellow, 42</t>
  </si>
  <si>
    <t>Road-250 Red, 44</t>
  </si>
  <si>
    <t>Road-150 Red, 52</t>
  </si>
  <si>
    <t>Mountain-500 Black, 44</t>
  </si>
  <si>
    <t>Road-250 Black, 44</t>
  </si>
  <si>
    <t>Road-750 Black, 48</t>
  </si>
  <si>
    <t>Germany</t>
  </si>
  <si>
    <t>Road-550-W Yellow, 48</t>
  </si>
  <si>
    <t>Victoria</t>
  </si>
  <si>
    <t>Road-250 Red, 58</t>
  </si>
  <si>
    <t>Washington</t>
  </si>
  <si>
    <t>Mountain-100 Black, 48</t>
  </si>
  <si>
    <t>France</t>
  </si>
  <si>
    <t>Hauts de Seine</t>
  </si>
  <si>
    <t>Road-250 Black, 58</t>
  </si>
  <si>
    <t>Nord</t>
  </si>
  <si>
    <t>Road-150 Red, 48</t>
  </si>
  <si>
    <t>Road-750 Black, 52</t>
  </si>
  <si>
    <t>Mountain-200 Silver, 42</t>
  </si>
  <si>
    <t>Road-250 Black, 52</t>
  </si>
  <si>
    <t>Road-150 Red, 62</t>
  </si>
  <si>
    <t>Mountain-500 Black, 48</t>
  </si>
  <si>
    <t>Mountain-200 Black, 46</t>
  </si>
  <si>
    <t>Mountain-200 Silver, 46</t>
  </si>
  <si>
    <t>Road-350-W Yellow, 44</t>
  </si>
  <si>
    <t>Road-350-W Yellow, 48</t>
  </si>
  <si>
    <t>Road-550-W Yellow, 38</t>
  </si>
  <si>
    <t>Road-250 Black, 48</t>
  </si>
  <si>
    <t>Mountain-400-W Silver, 38</t>
  </si>
  <si>
    <t>Saarland</t>
  </si>
  <si>
    <t>Loir et Cher</t>
  </si>
  <si>
    <t>Mountain-500 Silver, 42</t>
  </si>
  <si>
    <t>Mountain-500 Black, 42</t>
  </si>
  <si>
    <t>Road-750 Black, 58</t>
  </si>
  <si>
    <t>Bayern</t>
  </si>
  <si>
    <t>Road-250 Red, 48</t>
  </si>
  <si>
    <t>Tasmania</t>
  </si>
  <si>
    <t>Mountain-500 Silver, 40</t>
  </si>
  <si>
    <t>Road-650 Black, 52</t>
  </si>
  <si>
    <t>Road-150 Red, 44</t>
  </si>
  <si>
    <t>Road-750 Black, 44</t>
  </si>
  <si>
    <t>Road-550-W Yellow, 42</t>
  </si>
  <si>
    <t>Oregon</t>
  </si>
  <si>
    <t>Road-650 Red, 52</t>
  </si>
  <si>
    <t>Mountain-500 Silver, 52</t>
  </si>
  <si>
    <t>Road-250 Red, 52</t>
  </si>
  <si>
    <t>Hessen</t>
  </si>
  <si>
    <t>Road-650 Red, 60</t>
  </si>
  <si>
    <t>Texas</t>
  </si>
  <si>
    <t>Seine Saint Denis</t>
  </si>
  <si>
    <t>Road-550-W Yellow, 44</t>
  </si>
  <si>
    <t>Mountain-400-W Silver, 46</t>
  </si>
  <si>
    <t>Essonne</t>
  </si>
  <si>
    <t>Seine (Paris)</t>
  </si>
  <si>
    <t>Mountain-400-W Silver, 40</t>
  </si>
  <si>
    <t>Loiret</t>
  </si>
  <si>
    <t>Mountain-400-W Silver, 42</t>
  </si>
  <si>
    <t>Road-650 Red, 48</t>
  </si>
  <si>
    <t>Road-650 Black, 60</t>
  </si>
  <si>
    <t>Road-650 Red, 58</t>
  </si>
  <si>
    <t>Road-650 Black, 44</t>
  </si>
  <si>
    <t>Road-650 Black, 58</t>
  </si>
  <si>
    <t>Road-650 Black, 48</t>
  </si>
  <si>
    <t>Brandenburg</t>
  </si>
  <si>
    <t>Road-650 Black, 62</t>
  </si>
  <si>
    <t>Yveline</t>
  </si>
  <si>
    <t>Mountain-100 Black, 38</t>
  </si>
  <si>
    <t>Mountain-500 Black, 40</t>
  </si>
  <si>
    <t>Mountain-100 Silver, 44</t>
  </si>
  <si>
    <t>Garonne (Haute)</t>
  </si>
  <si>
    <t>Mountain-500 Black, 52</t>
  </si>
  <si>
    <t>Mountain-100 Black, 42</t>
  </si>
  <si>
    <t>Pas de Calais</t>
  </si>
  <si>
    <t>Bike_Color</t>
  </si>
  <si>
    <t>Black</t>
  </si>
  <si>
    <t>Red</t>
  </si>
  <si>
    <t>Silver</t>
  </si>
  <si>
    <t>Yellow</t>
  </si>
  <si>
    <t>Name</t>
  </si>
  <si>
    <t>Phone Number</t>
  </si>
  <si>
    <t>E-Mail</t>
  </si>
  <si>
    <t>اسم العمود</t>
  </si>
  <si>
    <t>وظيفة العمود</t>
  </si>
  <si>
    <t>تاريخ عملية البيع</t>
  </si>
  <si>
    <t>عمر العميل وقت عملية الشراء</t>
  </si>
  <si>
    <t>Customer_Gender</t>
  </si>
  <si>
    <t>نوع العميل</t>
  </si>
  <si>
    <t>الدولة التي تمت فيها عملية البيع</t>
  </si>
  <si>
    <t>الولاية أو المنطقة داخل الدولة</t>
  </si>
  <si>
    <t>الفئة الفرعية للمنتج</t>
  </si>
  <si>
    <t>لون الدراجة</t>
  </si>
  <si>
    <t>اسم المنتج ومقاسه</t>
  </si>
  <si>
    <t>عدد الوحدات التي تم بيعها في العملية</t>
  </si>
  <si>
    <t>تكلفة الوحدة الواحدة على الشركة</t>
  </si>
  <si>
    <t>سعر بيع الوحدة الواحدة للعميل</t>
  </si>
  <si>
    <t>Donia Khaled Ahmed</t>
  </si>
  <si>
    <t>doniakhaled1756@gmail.com</t>
  </si>
  <si>
    <t>Customaleer_Age</t>
  </si>
  <si>
    <t>Customaleer_Gender</t>
  </si>
  <si>
    <t>male</t>
  </si>
  <si>
    <t>British Columalebia</t>
  </si>
  <si>
    <t>Hamaleburg</t>
  </si>
  <si>
    <t>United Kingdomale</t>
  </si>
  <si>
    <t>Seine et malearne</t>
  </si>
  <si>
    <t>maleoselle</t>
  </si>
  <si>
    <t>Somalemalee</t>
  </si>
  <si>
    <t>Charente-malearitimalee</t>
  </si>
  <si>
    <t>Val de malearne</t>
  </si>
  <si>
    <t>Female</t>
  </si>
  <si>
    <t>Nordrhein-WestFemalealen</t>
  </si>
  <si>
    <t>Total Sales</t>
  </si>
  <si>
    <t>Total Cost</t>
  </si>
  <si>
    <t>Profit</t>
  </si>
  <si>
    <t>Profit Margin</t>
  </si>
  <si>
    <t>Age Group</t>
  </si>
  <si>
    <t xml:space="preserve">Month </t>
  </si>
  <si>
    <t>Day</t>
  </si>
  <si>
    <t>Month Num</t>
  </si>
  <si>
    <t>Row Labels</t>
  </si>
  <si>
    <t>Grand Total</t>
  </si>
  <si>
    <t>Sum of Total Sales</t>
  </si>
  <si>
    <t>Sum of Profit</t>
  </si>
  <si>
    <t>25-34</t>
  </si>
  <si>
    <t>35-44</t>
  </si>
  <si>
    <t>45-54</t>
  </si>
  <si>
    <t>55+</t>
  </si>
  <si>
    <t>Under 25</t>
  </si>
  <si>
    <t>Sum of Order_Quantity</t>
  </si>
  <si>
    <t>Sunday</t>
  </si>
  <si>
    <t>Monday</t>
  </si>
  <si>
    <t>Tuesday</t>
  </si>
  <si>
    <t>Wednesday</t>
  </si>
  <si>
    <t>Thursday</t>
  </si>
  <si>
    <t>Friday</t>
  </si>
  <si>
    <t>Saturday</t>
  </si>
  <si>
    <t>Q1  Which countries generate the highest sales and profit</t>
  </si>
  <si>
    <t>Answer</t>
  </si>
  <si>
    <t>Q2  Which bike sub-category is more popular based on the number of orders and quantity sold?</t>
  </si>
  <si>
    <t>Count of Date</t>
  </si>
  <si>
    <t>Road Bikes are more popular, with 520 orders and 1,018 units sold</t>
  </si>
  <si>
    <t>Q3  Which age group places the highest number of orders</t>
  </si>
  <si>
    <t>Customers aged 25–34 placed the highest number of orders, with 278 orders</t>
  </si>
  <si>
    <t>Q4 How does purchasing behavior differ between male and female customers in terms of order quantity</t>
  </si>
  <si>
    <t>Female customers made slightly more orders and purchased more units, while the average order quantity was nearly identical.</t>
  </si>
  <si>
    <t>Average of Order_Quantity2</t>
  </si>
  <si>
    <t>Q5 Which country has the highest average order quantity per transaction</t>
  </si>
  <si>
    <t>Average of Order_Quantity</t>
  </si>
  <si>
    <t>France has the highest average order quantity, with 2.13 units per transaction</t>
  </si>
  <si>
    <t>Q6  Which bike colors are most preferred based on the number of units sold</t>
  </si>
  <si>
    <t>Black is the most preferred bike color, with 610 units sold</t>
  </si>
  <si>
    <t>Q7 How does the number of units sold change from October to December</t>
  </si>
  <si>
    <t>October</t>
  </si>
  <si>
    <t>November</t>
  </si>
  <si>
    <t>December</t>
  </si>
  <si>
    <t>December had the highest demand with 664 units sold, while November recorded the lowest with 367 units</t>
  </si>
  <si>
    <t>Q8 Which day of the week has the highest number of sales transactions</t>
  </si>
  <si>
    <t>Wednesday had the highest number of sales transactions, with 114 transactions.</t>
  </si>
  <si>
    <t>Q9  How does demand vary across different unit price levels</t>
  </si>
  <si>
    <t>Q10  Which states have the highest number of sales transactions within each country</t>
  </si>
  <si>
    <t xml:space="preserve">New South Wales, California, England, British Columbia, Seine (Paris), and Hessen were the top states in their respective countries. </t>
  </si>
  <si>
    <t>Australia recorded the highest sales (511,050) and profit (186,410)</t>
  </si>
  <si>
    <t xml:space="preserve"> Bikes priced at 850 had the highest demand, with 342 units sold</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</si>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</sst>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4"/>
      <color theme="1"/>
      <name val="Aptos Narrow"/>
      <family val="2"/>
      <scheme val="minor"/>
    </font>
    <font>
      <b/>
      <i/>
      <sz val="12"/>
      <color theme="1"/>
      <name val="Aptos Narrow"/>
      <family val="2"/>
      <scheme val="minor"/>
    </font>
    <font>
      <b/>
      <sz val="12"/>
      <color theme="1"/>
      <name val="Aptos Narrow"/>
      <family val="2"/>
      <scheme val="minor"/>
    </font>
    <font>
      <u/>
      <sz val="11"/>
      <color theme="10"/>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rgb="FFFFC000"/>
        <bgColor indexed="64"/>
      </patternFill>
    </fill>
    <fill>
      <patternFill patternType="solid">
        <fgColor theme="3" tint="0.499984740745262"/>
        <bgColor indexed="64"/>
      </patternFill>
    </fill>
    <fill>
      <patternFill patternType="solid">
        <fgColor theme="1"/>
        <bgColor indexed="64"/>
      </patternFill>
    </fill>
    <fill>
      <patternFill patternType="solid">
        <fgColor theme="2"/>
        <bgColor indexed="64"/>
      </patternFill>
    </fill>
    <fill>
      <patternFill patternType="solid">
        <fgColor theme="5" tint="0.79998168889431442"/>
        <bgColor indexed="64"/>
      </patternFill>
    </fill>
    <fill>
      <patternFill patternType="solid">
        <fgColor theme="5" tint="0.79998168889431442"/>
        <bgColor theme="4" tint="0.79998168889431442"/>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right/>
      <top style="thin">
        <color theme="4" tint="0.39997558519241921"/>
      </top>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0" fontId="22" fillId="0" borderId="0" applyNumberFormat="0" applyFill="0" applyBorder="0" applyAlignment="0" applyProtection="0"/>
    <xf numFmtId="43" fontId="1" fillId="0" borderId="0" applyFont="0" applyFill="0" applyBorder="0" applyAlignment="0" applyProtection="0"/>
  </cellStyleXfs>
  <cellXfs count="39">
    <xf numFmtId="0" fontId="0" fillId="0" borderId="0" xfId="0"/>
    <xf numFmtId="2" fontId="0" fillId="0" borderId="0" xfId="0" applyNumberFormat="1"/>
    <xf numFmtId="14" fontId="0" fillId="0" borderId="10" xfId="0" applyNumberFormat="1" applyFont="1" applyBorder="1" applyAlignment="1">
      <alignment horizontal="center" vertical="center"/>
    </xf>
    <xf numFmtId="0" fontId="0" fillId="0" borderId="10" xfId="0" applyFont="1" applyBorder="1" applyAlignment="1">
      <alignment horizontal="center" vertical="center"/>
    </xf>
    <xf numFmtId="1" fontId="0" fillId="0" borderId="10" xfId="0" applyNumberFormat="1" applyFont="1" applyBorder="1" applyAlignment="1">
      <alignment horizontal="center" vertical="center"/>
    </xf>
    <xf numFmtId="0" fontId="19" fillId="0" borderId="0" xfId="0" applyFont="1" applyAlignment="1">
      <alignment horizontal="center" vertical="center"/>
    </xf>
    <xf numFmtId="2" fontId="19" fillId="0" borderId="0" xfId="0" applyNumberFormat="1" applyFont="1" applyAlignment="1">
      <alignment horizontal="center" vertical="center"/>
    </xf>
    <xf numFmtId="0" fontId="20" fillId="33" borderId="10" xfId="0" applyFont="1" applyFill="1" applyBorder="1" applyAlignment="1">
      <alignment horizontal="center" vertical="center"/>
    </xf>
    <xf numFmtId="0" fontId="20" fillId="0" borderId="10" xfId="0" applyFont="1" applyBorder="1" applyAlignment="1">
      <alignment horizontal="center" vertical="center"/>
    </xf>
    <xf numFmtId="0" fontId="19" fillId="35" borderId="13" xfId="0" applyFont="1" applyFill="1" applyBorder="1" applyAlignment="1">
      <alignment horizontal="center" vertical="center" wrapText="1"/>
    </xf>
    <xf numFmtId="0" fontId="19" fillId="35" borderId="14" xfId="0" applyFont="1" applyFill="1" applyBorder="1" applyAlignment="1">
      <alignment horizontal="center" vertical="center" wrapText="1"/>
    </xf>
    <xf numFmtId="0" fontId="21" fillId="0" borderId="11" xfId="0" applyFont="1" applyBorder="1" applyAlignment="1">
      <alignment horizontal="center" vertical="center" wrapText="1"/>
    </xf>
    <xf numFmtId="0" fontId="21" fillId="0" borderId="12"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16" xfId="0" applyFont="1" applyBorder="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xf>
    <xf numFmtId="9" fontId="0" fillId="0" borderId="0" xfId="42" applyFont="1" applyAlignment="1">
      <alignment horizontal="center" vertical="center"/>
    </xf>
    <xf numFmtId="0" fontId="19" fillId="0" borderId="0" xfId="0" applyNumberFormat="1" applyFont="1" applyAlignment="1">
      <alignment horizontal="center" vertical="center"/>
    </xf>
    <xf numFmtId="0" fontId="0" fillId="0" borderId="10" xfId="0" applyNumberFormat="1" applyFont="1" applyBorder="1" applyAlignment="1">
      <alignment horizontal="center" vertical="center"/>
    </xf>
    <xf numFmtId="0" fontId="0" fillId="0" borderId="0" xfId="0" applyNumberFormat="1"/>
    <xf numFmtId="0" fontId="0" fillId="0" borderId="0" xfId="0" pivotButton="1"/>
    <xf numFmtId="0" fontId="0" fillId="0" borderId="0" xfId="0" applyAlignment="1">
      <alignment horizontal="left"/>
    </xf>
    <xf numFmtId="43" fontId="0" fillId="0" borderId="0" xfId="0" applyNumberFormat="1"/>
    <xf numFmtId="164" fontId="0" fillId="0" borderId="0" xfId="0" applyNumberFormat="1"/>
    <xf numFmtId="0" fontId="0" fillId="36" borderId="0" xfId="0" applyFill="1"/>
    <xf numFmtId="0" fontId="0" fillId="0" borderId="0" xfId="0" applyAlignment="1">
      <alignment horizontal="left" indent="1"/>
    </xf>
    <xf numFmtId="0" fontId="0" fillId="37" borderId="0" xfId="0" applyFill="1"/>
    <xf numFmtId="0" fontId="16" fillId="37" borderId="0" xfId="0" applyFont="1" applyFill="1" applyAlignment="1">
      <alignment horizontal="left" vertical="center" indent="1"/>
    </xf>
    <xf numFmtId="0" fontId="0" fillId="38" borderId="0" xfId="0" applyFill="1" applyAlignment="1">
      <alignment horizontal="center" vertical="center"/>
    </xf>
    <xf numFmtId="0" fontId="0" fillId="38" borderId="0" xfId="0" applyFill="1"/>
    <xf numFmtId="164" fontId="16" fillId="39" borderId="18" xfId="0" applyNumberFormat="1" applyFont="1" applyFill="1" applyBorder="1"/>
    <xf numFmtId="0" fontId="16" fillId="39" borderId="18" xfId="0" applyNumberFormat="1" applyFont="1" applyFill="1" applyBorder="1"/>
    <xf numFmtId="164" fontId="0" fillId="38" borderId="0" xfId="44" applyNumberFormat="1" applyFont="1" applyFill="1"/>
    <xf numFmtId="0" fontId="20" fillId="34" borderId="12" xfId="0" applyFont="1" applyFill="1" applyBorder="1" applyAlignment="1">
      <alignment horizontal="center" vertical="center"/>
    </xf>
    <xf numFmtId="0" fontId="20" fillId="34" borderId="17" xfId="0" applyFont="1" applyFill="1" applyBorder="1" applyAlignment="1">
      <alignment horizontal="center" vertical="center"/>
    </xf>
    <xf numFmtId="0" fontId="20" fillId="34" borderId="11" xfId="0" applyFont="1" applyFill="1" applyBorder="1" applyAlignment="1">
      <alignment horizontal="center" vertical="center"/>
    </xf>
    <xf numFmtId="0" fontId="20" fillId="34" borderId="10" xfId="0" applyFont="1" applyFill="1" applyBorder="1" applyAlignment="1">
      <alignment horizontal="center" vertical="center"/>
    </xf>
    <xf numFmtId="0" fontId="22" fillId="34" borderId="10" xfId="43" applyFill="1" applyBorder="1" applyAlignment="1">
      <alignment horizontal="center"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4"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0">
    <dxf>
      <numFmt numFmtId="164" formatCode="_(* #,##0_);_(* \(#,##0\);_(* &quot;-&quot;??_);_(@_)"/>
    </dxf>
    <dxf>
      <numFmt numFmtId="35" formatCode="_(* #,##0.00_);_(* \(#,##0.00\);_(* &quot;-&quot;??_);_(@_)"/>
    </dxf>
    <dxf>
      <font>
        <b val="0"/>
        <i val="0"/>
        <strike val="0"/>
        <outline val="0"/>
        <shadow val="0"/>
        <u val="none"/>
        <vertAlign val="baseline"/>
        <sz val="11"/>
        <color theme="1"/>
        <name val="Aptos Narrow"/>
        <family val="2"/>
        <scheme val="minor"/>
      </font>
      <numFmt numFmtId="0" formatCode="General"/>
      <alignment horizontal="center" vertical="center" textRotation="0" wrapText="0" indent="0" justifyLastLine="0" shrinkToFit="0" readingOrder="0"/>
    </dxf>
    <dxf>
      <font>
        <b val="0"/>
        <i val="0"/>
        <strike val="0"/>
        <outline val="0"/>
        <shadow val="0"/>
        <u val="none"/>
        <vertAlign val="baseline"/>
        <sz val="11"/>
        <color theme="1"/>
        <name val="Aptos Narrow"/>
        <family val="2"/>
        <scheme val="minor"/>
      </font>
      <numFmt numFmtId="0" formatCode="General"/>
      <alignment horizontal="center" vertical="center" textRotation="0" wrapText="0" indent="0" justifyLastLine="0" shrinkToFit="0" readingOrder="0"/>
    </dxf>
    <dxf>
      <font>
        <b val="0"/>
        <i val="0"/>
        <strike val="0"/>
        <outline val="0"/>
        <shadow val="0"/>
        <u val="none"/>
        <vertAlign val="baseline"/>
        <sz val="11"/>
        <color theme="1"/>
        <name val="Aptos Narrow"/>
        <family val="2"/>
        <scheme val="minor"/>
      </font>
      <numFmt numFmtId="0" formatCode="General"/>
      <alignment horizontal="center" vertical="center" textRotation="0" wrapText="0" indent="0" justifyLastLine="0" shrinkToFit="0" readingOrder="0"/>
    </dxf>
    <dxf>
      <font>
        <b val="0"/>
        <i val="0"/>
        <strike val="0"/>
        <outline val="0"/>
        <shadow val="0"/>
        <u val="none"/>
        <vertAlign val="baseline"/>
        <sz val="11"/>
        <color theme="1"/>
        <name val="Aptos Narrow"/>
        <family val="2"/>
        <scheme val="minor"/>
      </font>
      <numFmt numFmtId="0" formatCode="General"/>
      <alignment horizontal="center" vertical="center" textRotation="0" wrapText="0" indent="0" justifyLastLine="0" shrinkToFit="0" readingOrder="0"/>
    </dxf>
    <dxf>
      <font>
        <b val="0"/>
        <i val="0"/>
        <strike val="0"/>
        <outline val="0"/>
        <shadow val="0"/>
        <u val="none"/>
        <vertAlign val="baseline"/>
        <sz val="11"/>
        <color theme="1"/>
        <name val="Aptos Narrow"/>
        <family val="2"/>
        <scheme val="minor"/>
      </font>
      <numFmt numFmtId="0" formatCode="General"/>
      <alignment horizontal="center" vertical="center" textRotation="0" wrapText="0" indent="0" justifyLastLine="0" shrinkToFit="0" readingOrder="0"/>
    </dxf>
    <dxf>
      <font>
        <b val="0"/>
        <i val="0"/>
        <strike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outline val="0"/>
        <shadow val="0"/>
        <u val="none"/>
        <vertAlign val="baseline"/>
        <sz val="11"/>
        <color theme="1"/>
        <name val="Aptos Narrow"/>
        <family val="2"/>
        <scheme val="minor"/>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numFmt numFmtId="165" formatCode="&quot;$&quot;#,##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9" formatCode="m/d/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9" formatCode="m/d/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outline val="0"/>
        <shadow val="0"/>
        <u val="none"/>
        <vertAlign val="baseline"/>
        <sz val="11"/>
        <color theme="1"/>
        <name val="Aptos Narrow"/>
        <family val="2"/>
        <scheme val="minor"/>
      </font>
      <numFmt numFmtId="19" formatCode="m/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outline val="0"/>
        <shadow val="0"/>
        <u val="none"/>
        <vertAlign val="baseline"/>
        <sz val="11"/>
        <color theme="1"/>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14"/>
        <color theme="1"/>
        <name val="Aptos Narrow"/>
        <family val="2"/>
        <scheme val="minor"/>
      </font>
      <alignment horizontal="center" vertical="center" textRotation="0" wrapText="0" indent="0" justifyLastLine="0" shrinkToFit="0" readingOrder="0"/>
    </dxf>
    <dxf>
      <font>
        <b/>
        <strike val="0"/>
        <outline val="0"/>
        <shadow val="0"/>
        <u val="none"/>
        <vertAlign val="baseline"/>
        <sz val="12"/>
        <color theme="1"/>
        <name val="Aptos Narrow"/>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strike val="0"/>
        <outline val="0"/>
        <shadow val="0"/>
        <u val="none"/>
        <vertAlign val="baseline"/>
        <sz val="12"/>
        <color theme="1"/>
        <name val="Aptos Narrow"/>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strike val="0"/>
        <outline val="0"/>
        <shadow val="0"/>
        <u val="none"/>
        <vertAlign val="baseline"/>
        <sz val="12"/>
        <color theme="1"/>
        <name val="Aptos Narrow"/>
        <family val="2"/>
        <scheme val="minor"/>
      </font>
    </dxf>
    <dxf>
      <border outline="0">
        <bottom style="thin">
          <color indexed="64"/>
        </bottom>
      </border>
    </dxf>
    <dxf>
      <font>
        <b/>
        <i val="0"/>
        <strike val="0"/>
        <condense val="0"/>
        <extend val="0"/>
        <outline val="0"/>
        <shadow val="0"/>
        <u val="none"/>
        <vertAlign val="baseline"/>
        <sz val="14"/>
        <color theme="1"/>
        <name val="Aptos Narrow"/>
        <family val="2"/>
        <scheme val="minor"/>
      </font>
      <fill>
        <patternFill patternType="solid">
          <fgColor indexed="64"/>
          <bgColor theme="3" tint="0.49998474074526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 Task_3 backup.xlsx] Analysis!PivotTable13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t>Sales &amp; Profit by Country</a:t>
            </a:r>
            <a:endParaRPr lang="en-US" sz="1800" b="1"/>
          </a:p>
        </c:rich>
      </c:tx>
      <c:layout>
        <c:manualLayout>
          <c:xMode val="edge"/>
          <c:yMode val="edge"/>
          <c:x val="0.26162437659894283"/>
          <c:y val="2.41935483870967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447980416156670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2.937576499388005E-2"/>
              <c:y val="-7.3923877207858028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2.447980416156670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50000"/>
            </a:schemeClr>
          </a:solidFill>
          <a:ln>
            <a:noFill/>
          </a:ln>
          <a:effectLst/>
        </c:spPr>
        <c:dLbl>
          <c:idx val="0"/>
          <c:layout>
            <c:manualLayout>
              <c:x val="-1.9583843329253364E-2"/>
              <c:y val="-7.3923877207858028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713586291309669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1.4687882496940113E-2"/>
              <c:y val="-7.3923877207858028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1.2239902080783174E-2"/>
              <c:y val="7.3923877207858028E-17"/>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8.0354860783160981E-2"/>
                  <c:h val="0.10471805943611887"/>
                </c:manualLayout>
              </c15:layout>
            </c:ext>
          </c:extLst>
        </c:dLbl>
      </c:pivotFmt>
    </c:pivotFmts>
    <c:plotArea>
      <c:layout>
        <c:manualLayout>
          <c:layoutTarget val="inner"/>
          <c:xMode val="edge"/>
          <c:yMode val="edge"/>
          <c:x val="5.7810888693992819E-3"/>
          <c:y val="0.2175"/>
          <c:w val="0.99088580267735815"/>
          <c:h val="0.5477959105918212"/>
        </c:manualLayout>
      </c:layout>
      <c:barChart>
        <c:barDir val="col"/>
        <c:grouping val="clustered"/>
        <c:varyColors val="0"/>
        <c:ser>
          <c:idx val="0"/>
          <c:order val="0"/>
          <c:tx>
            <c:strRef>
              <c:f>' Analysis'!$B$4</c:f>
              <c:strCache>
                <c:ptCount val="1"/>
                <c:pt idx="0">
                  <c:v>Sum of Total Sales</c:v>
                </c:pt>
              </c:strCache>
            </c:strRef>
          </c:tx>
          <c:spPr>
            <a:solidFill>
              <a:schemeClr val="accent2">
                <a:lumMod val="50000"/>
              </a:schemeClr>
            </a:solidFill>
            <a:ln>
              <a:noFill/>
            </a:ln>
            <a:effectLst/>
          </c:spPr>
          <c:invertIfNegative val="0"/>
          <c:dPt>
            <c:idx val="1"/>
            <c:invertIfNegative val="0"/>
            <c:bubble3D val="0"/>
            <c:spPr>
              <a:solidFill>
                <a:schemeClr val="accent2">
                  <a:lumMod val="50000"/>
                </a:schemeClr>
              </a:solidFill>
              <a:ln>
                <a:noFill/>
              </a:ln>
              <a:effectLst/>
            </c:spPr>
            <c:extLst>
              <c:ext xmlns:c16="http://schemas.microsoft.com/office/drawing/2014/chart" uri="{C3380CC4-5D6E-409C-BE32-E72D297353CC}">
                <c16:uniqueId val="{00000003-126E-473B-B4FB-48FACAD16EA5}"/>
              </c:ext>
            </c:extLst>
          </c:dPt>
          <c:dLbls>
            <c:dLbl>
              <c:idx val="1"/>
              <c:layout>
                <c:manualLayout>
                  <c:x val="-1.9583843329253364E-2"/>
                  <c:y val="-7.3923877207858028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6E-473B-B4FB-48FACAD16EA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Analysis'!$A$5:$A$12</c:f>
              <c:strCache>
                <c:ptCount val="7"/>
                <c:pt idx="0">
                  <c:v>Australia</c:v>
                </c:pt>
                <c:pt idx="1">
                  <c:v>Canada</c:v>
                </c:pt>
                <c:pt idx="2">
                  <c:v>United Kingdomale</c:v>
                </c:pt>
                <c:pt idx="3">
                  <c:v>United States</c:v>
                </c:pt>
                <c:pt idx="4">
                  <c:v>(blank)</c:v>
                </c:pt>
                <c:pt idx="5">
                  <c:v>France</c:v>
                </c:pt>
                <c:pt idx="6">
                  <c:v>Germany</c:v>
                </c:pt>
              </c:strCache>
            </c:strRef>
          </c:cat>
          <c:val>
            <c:numRef>
              <c:f>' Analysis'!$B$5:$B$12</c:f>
              <c:numCache>
                <c:formatCode>_(* #,##0_);_(* \(#,##0\);_(* "-"??_);_(@_)</c:formatCode>
                <c:ptCount val="7"/>
                <c:pt idx="0">
                  <c:v>511050</c:v>
                </c:pt>
                <c:pt idx="1">
                  <c:v>71100</c:v>
                </c:pt>
                <c:pt idx="2">
                  <c:v>172060</c:v>
                </c:pt>
                <c:pt idx="3">
                  <c:v>331080</c:v>
                </c:pt>
                <c:pt idx="5">
                  <c:v>175860</c:v>
                </c:pt>
                <c:pt idx="6">
                  <c:v>148350</c:v>
                </c:pt>
              </c:numCache>
            </c:numRef>
          </c:val>
          <c:extLst>
            <c:ext xmlns:c16="http://schemas.microsoft.com/office/drawing/2014/chart" uri="{C3380CC4-5D6E-409C-BE32-E72D297353CC}">
              <c16:uniqueId val="{00000000-4BC5-45E7-BE84-2C8911EF79AC}"/>
            </c:ext>
          </c:extLst>
        </c:ser>
        <c:ser>
          <c:idx val="1"/>
          <c:order val="1"/>
          <c:tx>
            <c:strRef>
              <c:f>' Analysis'!$C$4</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126E-473B-B4FB-48FACAD16EA5}"/>
              </c:ext>
            </c:extLst>
          </c:dPt>
          <c:dPt>
            <c:idx val="1"/>
            <c:invertIfNegative val="0"/>
            <c:bubble3D val="0"/>
            <c:extLst>
              <c:ext xmlns:c16="http://schemas.microsoft.com/office/drawing/2014/chart" uri="{C3380CC4-5D6E-409C-BE32-E72D297353CC}">
                <c16:uniqueId val="{00000002-126E-473B-B4FB-48FACAD16EA5}"/>
              </c:ext>
            </c:extLst>
          </c:dPt>
          <c:dPt>
            <c:idx val="2"/>
            <c:invertIfNegative val="0"/>
            <c:bubble3D val="0"/>
            <c:extLst>
              <c:ext xmlns:c16="http://schemas.microsoft.com/office/drawing/2014/chart" uri="{C3380CC4-5D6E-409C-BE32-E72D297353CC}">
                <c16:uniqueId val="{00000001-126E-473B-B4FB-48FACAD16EA5}"/>
              </c:ext>
            </c:extLst>
          </c:dPt>
          <c:dPt>
            <c:idx val="3"/>
            <c:invertIfNegative val="0"/>
            <c:bubble3D val="0"/>
            <c:extLst>
              <c:ext xmlns:c16="http://schemas.microsoft.com/office/drawing/2014/chart" uri="{C3380CC4-5D6E-409C-BE32-E72D297353CC}">
                <c16:uniqueId val="{00000000-126E-473B-B4FB-48FACAD16EA5}"/>
              </c:ext>
            </c:extLst>
          </c:dPt>
          <c:dPt>
            <c:idx val="5"/>
            <c:invertIfNegative val="0"/>
            <c:bubble3D val="0"/>
            <c:extLst>
              <c:ext xmlns:c16="http://schemas.microsoft.com/office/drawing/2014/chart" uri="{C3380CC4-5D6E-409C-BE32-E72D297353CC}">
                <c16:uniqueId val="{00000005-126E-473B-B4FB-48FACAD16EA5}"/>
              </c:ext>
            </c:extLst>
          </c:dPt>
          <c:dPt>
            <c:idx val="6"/>
            <c:invertIfNegative val="0"/>
            <c:bubble3D val="0"/>
            <c:extLst>
              <c:ext xmlns:c16="http://schemas.microsoft.com/office/drawing/2014/chart" uri="{C3380CC4-5D6E-409C-BE32-E72D297353CC}">
                <c16:uniqueId val="{00000006-126E-473B-B4FB-48FACAD16EA5}"/>
              </c:ext>
            </c:extLst>
          </c:dPt>
          <c:dLbls>
            <c:dLbl>
              <c:idx val="0"/>
              <c:layout>
                <c:manualLayout>
                  <c:x val="1.713586291309669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26E-473B-B4FB-48FACAD16EA5}"/>
                </c:ext>
              </c:extLst>
            </c:dLbl>
            <c:dLbl>
              <c:idx val="1"/>
              <c:layout>
                <c:manualLayout>
                  <c:x val="2.4479804161566709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6E-473B-B4FB-48FACAD16EA5}"/>
                </c:ext>
              </c:extLst>
            </c:dLbl>
            <c:dLbl>
              <c:idx val="2"/>
              <c:layout>
                <c:manualLayout>
                  <c:x val="2.937576499388005E-2"/>
                  <c:y val="-7.3923877207858028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6E-473B-B4FB-48FACAD16EA5}"/>
                </c:ext>
              </c:extLst>
            </c:dLbl>
            <c:dLbl>
              <c:idx val="3"/>
              <c:layout>
                <c:manualLayout>
                  <c:x val="2.4479804161566709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6E-473B-B4FB-48FACAD16EA5}"/>
                </c:ext>
              </c:extLst>
            </c:dLbl>
            <c:dLbl>
              <c:idx val="5"/>
              <c:layout>
                <c:manualLayout>
                  <c:x val="1.4687882496940113E-2"/>
                  <c:y val="-7.3923877207858028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6E-473B-B4FB-48FACAD16EA5}"/>
                </c:ext>
              </c:extLst>
            </c:dLbl>
            <c:dLbl>
              <c:idx val="6"/>
              <c:layout>
                <c:manualLayout>
                  <c:x val="1.2239902080783174E-2"/>
                  <c:y val="7.3923877207858028E-17"/>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8.0354860783160981E-2"/>
                      <c:h val="0.10471805943611887"/>
                    </c:manualLayout>
                  </c15:layout>
                </c:ext>
                <c:ext xmlns:c16="http://schemas.microsoft.com/office/drawing/2014/chart" uri="{C3380CC4-5D6E-409C-BE32-E72D297353CC}">
                  <c16:uniqueId val="{00000006-126E-473B-B4FB-48FACAD16EA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Analysis'!$A$5:$A$12</c:f>
              <c:strCache>
                <c:ptCount val="7"/>
                <c:pt idx="0">
                  <c:v>Australia</c:v>
                </c:pt>
                <c:pt idx="1">
                  <c:v>Canada</c:v>
                </c:pt>
                <c:pt idx="2">
                  <c:v>United Kingdomale</c:v>
                </c:pt>
                <c:pt idx="3">
                  <c:v>United States</c:v>
                </c:pt>
                <c:pt idx="4">
                  <c:v>(blank)</c:v>
                </c:pt>
                <c:pt idx="5">
                  <c:v>France</c:v>
                </c:pt>
                <c:pt idx="6">
                  <c:v>Germany</c:v>
                </c:pt>
              </c:strCache>
            </c:strRef>
          </c:cat>
          <c:val>
            <c:numRef>
              <c:f>' Analysis'!$C$5:$C$12</c:f>
              <c:numCache>
                <c:formatCode>_(* #,##0_);_(* \(#,##0\);_(* "-"??_);_(@_)</c:formatCode>
                <c:ptCount val="7"/>
                <c:pt idx="0">
                  <c:v>186410</c:v>
                </c:pt>
                <c:pt idx="1">
                  <c:v>25920</c:v>
                </c:pt>
                <c:pt idx="2">
                  <c:v>62640</c:v>
                </c:pt>
                <c:pt idx="3">
                  <c:v>120420</c:v>
                </c:pt>
                <c:pt idx="5">
                  <c:v>63750</c:v>
                </c:pt>
                <c:pt idx="6">
                  <c:v>54320</c:v>
                </c:pt>
              </c:numCache>
            </c:numRef>
          </c:val>
          <c:extLst>
            <c:ext xmlns:c16="http://schemas.microsoft.com/office/drawing/2014/chart" uri="{C3380CC4-5D6E-409C-BE32-E72D297353CC}">
              <c16:uniqueId val="{00000001-4BC5-45E7-BE84-2C8911EF79AC}"/>
            </c:ext>
          </c:extLst>
        </c:ser>
        <c:dLbls>
          <c:dLblPos val="outEnd"/>
          <c:showLegendKey val="0"/>
          <c:showVal val="1"/>
          <c:showCatName val="0"/>
          <c:showSerName val="0"/>
          <c:showPercent val="0"/>
          <c:showBubbleSize val="0"/>
        </c:dLbls>
        <c:gapWidth val="219"/>
        <c:overlap val="-27"/>
        <c:axId val="70990320"/>
        <c:axId val="70989840"/>
      </c:barChart>
      <c:catAx>
        <c:axId val="7099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0989840"/>
        <c:crosses val="autoZero"/>
        <c:auto val="1"/>
        <c:lblAlgn val="ctr"/>
        <c:lblOffset val="100"/>
        <c:noMultiLvlLbl val="0"/>
      </c:catAx>
      <c:valAx>
        <c:axId val="70989840"/>
        <c:scaling>
          <c:orientation val="minMax"/>
        </c:scaling>
        <c:delete val="1"/>
        <c:axPos val="l"/>
        <c:numFmt formatCode="_(* #,##0_);_(* \(#,##0\);_(* &quot;-&quot;??_);_(@_)" sourceLinked="1"/>
        <c:majorTickMark val="none"/>
        <c:minorTickMark val="none"/>
        <c:tickLblPos val="nextTo"/>
        <c:crossAx val="70990320"/>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 Task_3 backup.xlsx] Analysis!PivotTable19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t>Monthly Units Sold</a:t>
            </a:r>
            <a:endParaRPr lang="en-US"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2">
                <a:lumMod val="50000"/>
              </a:schemeClr>
            </a:solidFill>
            <a:round/>
          </a:ln>
          <a:effectLst/>
        </c:spPr>
        <c:marker>
          <c:symbol val="circle"/>
          <c:size val="7"/>
          <c:spPr>
            <a:pattFill prst="pct5">
              <a:fgClr>
                <a:schemeClr val="accent2">
                  <a:lumMod val="20000"/>
                  <a:lumOff val="80000"/>
                </a:schemeClr>
              </a:fgClr>
              <a:bgClr>
                <a:schemeClr val="accent2">
                  <a:lumMod val="20000"/>
                  <a:lumOff val="80000"/>
                </a:schemeClr>
              </a:bgClr>
            </a:patt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8100" cap="rnd">
            <a:solidFill>
              <a:schemeClr val="accent2">
                <a:lumMod val="50000"/>
              </a:schemeClr>
            </a:solidFill>
            <a:round/>
          </a:ln>
          <a:effectLst/>
        </c:spPr>
        <c:marker>
          <c:symbol val="circle"/>
          <c:size val="7"/>
          <c:spPr>
            <a:pattFill prst="pct5">
              <a:fgClr>
                <a:schemeClr val="accent2">
                  <a:lumMod val="20000"/>
                  <a:lumOff val="80000"/>
                </a:schemeClr>
              </a:fgClr>
              <a:bgClr>
                <a:schemeClr val="accent2">
                  <a:lumMod val="20000"/>
                  <a:lumOff val="80000"/>
                </a:schemeClr>
              </a:bgClr>
            </a:pattFill>
            <a:ln w="9525">
              <a:solidFill>
                <a:schemeClr val="accent1"/>
              </a:solidFill>
            </a:ln>
            <a:effectLst/>
          </c:spPr>
        </c:marker>
      </c:pivotFmt>
      <c:pivotFmt>
        <c:idx val="4"/>
        <c:spPr>
          <a:ln w="38100" cap="rnd">
            <a:solidFill>
              <a:schemeClr val="accent2">
                <a:lumMod val="50000"/>
              </a:schemeClr>
            </a:solidFill>
            <a:round/>
          </a:ln>
          <a:effectLst/>
        </c:spPr>
        <c:marker>
          <c:symbol val="circle"/>
          <c:size val="7"/>
          <c:spPr>
            <a:pattFill prst="pct5">
              <a:fgClr>
                <a:schemeClr val="accent2">
                  <a:lumMod val="20000"/>
                  <a:lumOff val="80000"/>
                </a:schemeClr>
              </a:fgClr>
              <a:bgClr>
                <a:schemeClr val="accent2">
                  <a:lumMod val="20000"/>
                  <a:lumOff val="80000"/>
                </a:schemeClr>
              </a:bgClr>
            </a:pattFill>
            <a:ln w="9525">
              <a:solidFill>
                <a:schemeClr val="accent1"/>
              </a:solidFill>
            </a:ln>
            <a:effectLst/>
          </c:spPr>
        </c:marker>
      </c:pivotFmt>
    </c:pivotFmts>
    <c:plotArea>
      <c:layout>
        <c:manualLayout>
          <c:layoutTarget val="inner"/>
          <c:xMode val="edge"/>
          <c:yMode val="edge"/>
          <c:x val="2.8061224489795918E-2"/>
          <c:y val="0.21651452282157677"/>
          <c:w val="0.94387755102040816"/>
          <c:h val="0.59163263305779723"/>
        </c:manualLayout>
      </c:layout>
      <c:lineChart>
        <c:grouping val="standard"/>
        <c:varyColors val="0"/>
        <c:ser>
          <c:idx val="0"/>
          <c:order val="0"/>
          <c:tx>
            <c:strRef>
              <c:f>' Analysis'!$AP$4</c:f>
              <c:strCache>
                <c:ptCount val="1"/>
                <c:pt idx="0">
                  <c:v>Total</c:v>
                </c:pt>
              </c:strCache>
            </c:strRef>
          </c:tx>
          <c:spPr>
            <a:ln w="38100" cap="rnd">
              <a:solidFill>
                <a:schemeClr val="accent2">
                  <a:lumMod val="50000"/>
                </a:schemeClr>
              </a:solidFill>
              <a:round/>
            </a:ln>
            <a:effectLst/>
          </c:spPr>
          <c:marker>
            <c:symbol val="circle"/>
            <c:size val="7"/>
            <c:spPr>
              <a:pattFill prst="pct5">
                <a:fgClr>
                  <a:schemeClr val="accent2">
                    <a:lumMod val="20000"/>
                    <a:lumOff val="80000"/>
                  </a:schemeClr>
                </a:fgClr>
                <a:bgClr>
                  <a:schemeClr val="accent2">
                    <a:lumMod val="20000"/>
                    <a:lumOff val="80000"/>
                  </a:schemeClr>
                </a:bgClr>
              </a:patt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Analysis'!$AO$5:$AO$8</c:f>
              <c:strCache>
                <c:ptCount val="3"/>
                <c:pt idx="0">
                  <c:v>October</c:v>
                </c:pt>
                <c:pt idx="1">
                  <c:v>November</c:v>
                </c:pt>
                <c:pt idx="2">
                  <c:v>December</c:v>
                </c:pt>
              </c:strCache>
            </c:strRef>
          </c:cat>
          <c:val>
            <c:numRef>
              <c:f>' Analysis'!$AP$5:$AP$8</c:f>
              <c:numCache>
                <c:formatCode>General</c:formatCode>
                <c:ptCount val="3"/>
                <c:pt idx="0">
                  <c:v>452</c:v>
                </c:pt>
                <c:pt idx="1">
                  <c:v>367</c:v>
                </c:pt>
                <c:pt idx="2">
                  <c:v>664</c:v>
                </c:pt>
              </c:numCache>
            </c:numRef>
          </c:val>
          <c:smooth val="0"/>
          <c:extLst>
            <c:ext xmlns:c16="http://schemas.microsoft.com/office/drawing/2014/chart" uri="{C3380CC4-5D6E-409C-BE32-E72D297353CC}">
              <c16:uniqueId val="{00000000-6BAC-4A9C-9057-C4B69A37DFC7}"/>
            </c:ext>
          </c:extLst>
        </c:ser>
        <c:dLbls>
          <c:dLblPos val="t"/>
          <c:showLegendKey val="0"/>
          <c:showVal val="1"/>
          <c:showCatName val="0"/>
          <c:showSerName val="0"/>
          <c:showPercent val="0"/>
          <c:showBubbleSize val="0"/>
        </c:dLbls>
        <c:marker val="1"/>
        <c:smooth val="0"/>
        <c:axId val="74906656"/>
        <c:axId val="74898496"/>
      </c:lineChart>
      <c:catAx>
        <c:axId val="74906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898496"/>
        <c:crosses val="autoZero"/>
        <c:auto val="1"/>
        <c:lblAlgn val="ctr"/>
        <c:lblOffset val="100"/>
        <c:noMultiLvlLbl val="0"/>
      </c:catAx>
      <c:valAx>
        <c:axId val="74898496"/>
        <c:scaling>
          <c:orientation val="minMax"/>
        </c:scaling>
        <c:delete val="1"/>
        <c:axPos val="l"/>
        <c:numFmt formatCode="General" sourceLinked="1"/>
        <c:majorTickMark val="none"/>
        <c:minorTickMark val="none"/>
        <c:tickLblPos val="nextTo"/>
        <c:crossAx val="7490665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 Task_3 backup.xlsx] Analysis!PivotTable15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t>Customer Distribution by Age Group</a:t>
            </a:r>
            <a:endParaRPr lang="en-US" sz="1800" b="1"/>
          </a:p>
        </c:rich>
      </c:tx>
      <c:layout>
        <c:manualLayout>
          <c:xMode val="edge"/>
          <c:yMode val="edge"/>
          <c:x val="0.1596051151500799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568922305764409E-2"/>
          <c:y val="0.2095582329317269"/>
          <c:w val="0.94486215538847118"/>
          <c:h val="0.60475286974670339"/>
        </c:manualLayout>
      </c:layout>
      <c:barChart>
        <c:barDir val="col"/>
        <c:grouping val="clustered"/>
        <c:varyColors val="0"/>
        <c:ser>
          <c:idx val="0"/>
          <c:order val="0"/>
          <c:tx>
            <c:strRef>
              <c:f>' Analysis'!$O$4</c:f>
              <c:strCache>
                <c:ptCount val="1"/>
                <c:pt idx="0">
                  <c:v>Total</c:v>
                </c:pt>
              </c:strCache>
            </c:strRef>
          </c:tx>
          <c:spPr>
            <a:solidFill>
              <a:schemeClr val="accent2">
                <a:lumMod val="75000"/>
              </a:schemeClr>
            </a:solidFill>
            <a:ln w="1905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Analysis'!$N$5:$N$11</c:f>
              <c:strCache>
                <c:ptCount val="6"/>
                <c:pt idx="0">
                  <c:v>25-34</c:v>
                </c:pt>
                <c:pt idx="1">
                  <c:v>35-44</c:v>
                </c:pt>
                <c:pt idx="2">
                  <c:v>45-54</c:v>
                </c:pt>
                <c:pt idx="3">
                  <c:v>55+</c:v>
                </c:pt>
                <c:pt idx="4">
                  <c:v>Under 25</c:v>
                </c:pt>
                <c:pt idx="5">
                  <c:v>(blank)</c:v>
                </c:pt>
              </c:strCache>
            </c:strRef>
          </c:cat>
          <c:val>
            <c:numRef>
              <c:f>' Analysis'!$O$5:$O$11</c:f>
              <c:numCache>
                <c:formatCode>General</c:formatCode>
                <c:ptCount val="6"/>
                <c:pt idx="0">
                  <c:v>278</c:v>
                </c:pt>
                <c:pt idx="1">
                  <c:v>228</c:v>
                </c:pt>
                <c:pt idx="2">
                  <c:v>101</c:v>
                </c:pt>
                <c:pt idx="3">
                  <c:v>35</c:v>
                </c:pt>
                <c:pt idx="4">
                  <c:v>110</c:v>
                </c:pt>
              </c:numCache>
            </c:numRef>
          </c:val>
          <c:extLst>
            <c:ext xmlns:c16="http://schemas.microsoft.com/office/drawing/2014/chart" uri="{C3380CC4-5D6E-409C-BE32-E72D297353CC}">
              <c16:uniqueId val="{00000000-6DD0-45A2-AB0B-CC59672D9EC8}"/>
            </c:ext>
          </c:extLst>
        </c:ser>
        <c:dLbls>
          <c:dLblPos val="outEnd"/>
          <c:showLegendKey val="0"/>
          <c:showVal val="1"/>
          <c:showCatName val="0"/>
          <c:showSerName val="0"/>
          <c:showPercent val="0"/>
          <c:showBubbleSize val="0"/>
        </c:dLbls>
        <c:gapWidth val="150"/>
        <c:axId val="74910016"/>
        <c:axId val="74908576"/>
      </c:barChart>
      <c:catAx>
        <c:axId val="74910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908576"/>
        <c:crosses val="autoZero"/>
        <c:auto val="1"/>
        <c:lblAlgn val="ctr"/>
        <c:lblOffset val="100"/>
        <c:noMultiLvlLbl val="0"/>
      </c:catAx>
      <c:valAx>
        <c:axId val="74908576"/>
        <c:scaling>
          <c:orientation val="minMax"/>
        </c:scaling>
        <c:delete val="1"/>
        <c:axPos val="l"/>
        <c:numFmt formatCode="General" sourceLinked="1"/>
        <c:majorTickMark val="out"/>
        <c:minorTickMark val="none"/>
        <c:tickLblPos val="nextTo"/>
        <c:crossAx val="74910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 Task_3 backup.xlsx] Analysis!PivotTable18</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Units Sold by Bike Color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bg1">
              <a:lumMod val="75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rgbClr val="FFFF00"/>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6781750063500126"/>
          <c:w val="1"/>
          <c:h val="0.66670370840741666"/>
        </c:manualLayout>
      </c:layout>
      <c:pie3DChart>
        <c:varyColors val="1"/>
        <c:ser>
          <c:idx val="0"/>
          <c:order val="0"/>
          <c:tx>
            <c:strRef>
              <c:f>' Analysis'!$AJ$4</c:f>
              <c:strCache>
                <c:ptCount val="1"/>
                <c:pt idx="0">
                  <c:v>Total</c:v>
                </c:pt>
              </c:strCache>
            </c:strRef>
          </c:tx>
          <c:explosion val="7"/>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B582-4DAA-8726-A29F1ADA1AA7}"/>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B582-4DAA-8726-A29F1ADA1AA7}"/>
              </c:ext>
            </c:extLst>
          </c:dPt>
          <c:dPt>
            <c:idx val="2"/>
            <c:bubble3D val="0"/>
            <c:spPr>
              <a:solidFill>
                <a:schemeClr val="bg1">
                  <a:lumMod val="75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B582-4DAA-8726-A29F1ADA1AA7}"/>
              </c:ext>
            </c:extLst>
          </c:dPt>
          <c:dPt>
            <c:idx val="3"/>
            <c:bubble3D val="0"/>
            <c:spPr>
              <a:solidFill>
                <a:srgbClr val="FFFF00"/>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B582-4DAA-8726-A29F1ADA1AA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 Analysis'!$AI$5:$AI$9</c:f>
              <c:strCache>
                <c:ptCount val="4"/>
                <c:pt idx="0">
                  <c:v>Black</c:v>
                </c:pt>
                <c:pt idx="1">
                  <c:v>Red</c:v>
                </c:pt>
                <c:pt idx="2">
                  <c:v>Silver</c:v>
                </c:pt>
                <c:pt idx="3">
                  <c:v>Yellow</c:v>
                </c:pt>
              </c:strCache>
            </c:strRef>
          </c:cat>
          <c:val>
            <c:numRef>
              <c:f>' Analysis'!$AJ$5:$AJ$9</c:f>
              <c:numCache>
                <c:formatCode>General</c:formatCode>
                <c:ptCount val="4"/>
                <c:pt idx="0">
                  <c:v>610</c:v>
                </c:pt>
                <c:pt idx="1">
                  <c:v>319</c:v>
                </c:pt>
                <c:pt idx="2">
                  <c:v>237</c:v>
                </c:pt>
                <c:pt idx="3">
                  <c:v>317</c:v>
                </c:pt>
              </c:numCache>
            </c:numRef>
          </c:val>
          <c:extLst>
            <c:ext xmlns:c16="http://schemas.microsoft.com/office/drawing/2014/chart" uri="{C3380CC4-5D6E-409C-BE32-E72D297353CC}">
              <c16:uniqueId val="{00000008-B582-4DAA-8726-A29F1ADA1AA7}"/>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 Task_3 backup.xlsx] Analysis!PivotTable1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t>Top 5 Products by Sales</a:t>
            </a:r>
            <a:endParaRPr lang="en-US" sz="1800" b="1"/>
          </a:p>
        </c:rich>
      </c:tx>
      <c:layout>
        <c:manualLayout>
          <c:xMode val="edge"/>
          <c:yMode val="edge"/>
          <c:x val="0.41454825675021495"/>
          <c:y val="4.31034482758620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20020944684299"/>
          <c:y val="0.24215517241379314"/>
          <c:w val="0.86099803396595498"/>
          <c:h val="0.6630172413793104"/>
        </c:manualLayout>
      </c:layout>
      <c:barChart>
        <c:barDir val="bar"/>
        <c:grouping val="clustered"/>
        <c:varyColors val="0"/>
        <c:ser>
          <c:idx val="0"/>
          <c:order val="0"/>
          <c:tx>
            <c:strRef>
              <c:f>' Analysis'!$I$13</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Analysis'!$H$14:$H$18</c:f>
              <c:strCache>
                <c:ptCount val="5"/>
                <c:pt idx="0">
                  <c:v>Mountain-200 Black, 38</c:v>
                </c:pt>
                <c:pt idx="1">
                  <c:v>Mountain-200 Silver, 38</c:v>
                </c:pt>
                <c:pt idx="2">
                  <c:v>Road-150 Red, 48</c:v>
                </c:pt>
                <c:pt idx="3">
                  <c:v>Road-250 Black, 52</c:v>
                </c:pt>
                <c:pt idx="4">
                  <c:v>Road-750 Black, 48</c:v>
                </c:pt>
              </c:strCache>
            </c:strRef>
          </c:cat>
          <c:val>
            <c:numRef>
              <c:f>' Analysis'!$I$14:$I$18</c:f>
              <c:numCache>
                <c:formatCode>General</c:formatCode>
                <c:ptCount val="5"/>
                <c:pt idx="0">
                  <c:v>71400</c:v>
                </c:pt>
                <c:pt idx="1">
                  <c:v>53550</c:v>
                </c:pt>
                <c:pt idx="2">
                  <c:v>64400</c:v>
                </c:pt>
                <c:pt idx="3">
                  <c:v>55200</c:v>
                </c:pt>
                <c:pt idx="4">
                  <c:v>101200</c:v>
                </c:pt>
              </c:numCache>
            </c:numRef>
          </c:val>
          <c:extLst>
            <c:ext xmlns:c16="http://schemas.microsoft.com/office/drawing/2014/chart" uri="{C3380CC4-5D6E-409C-BE32-E72D297353CC}">
              <c16:uniqueId val="{00000000-2B50-4D00-B1DE-3A83E5122AF7}"/>
            </c:ext>
          </c:extLst>
        </c:ser>
        <c:dLbls>
          <c:dLblPos val="outEnd"/>
          <c:showLegendKey val="0"/>
          <c:showVal val="1"/>
          <c:showCatName val="0"/>
          <c:showSerName val="0"/>
          <c:showPercent val="0"/>
          <c:showBubbleSize val="0"/>
        </c:dLbls>
        <c:gapWidth val="182"/>
        <c:axId val="150943600"/>
        <c:axId val="150942160"/>
      </c:barChart>
      <c:catAx>
        <c:axId val="1509436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0942160"/>
        <c:crosses val="autoZero"/>
        <c:auto val="1"/>
        <c:lblAlgn val="ctr"/>
        <c:lblOffset val="100"/>
        <c:noMultiLvlLbl val="0"/>
      </c:catAx>
      <c:valAx>
        <c:axId val="150942160"/>
        <c:scaling>
          <c:orientation val="minMax"/>
        </c:scaling>
        <c:delete val="1"/>
        <c:axPos val="b"/>
        <c:numFmt formatCode="General" sourceLinked="1"/>
        <c:majorTickMark val="none"/>
        <c:minorTickMark val="none"/>
        <c:tickLblPos val="nextTo"/>
        <c:crossAx val="150943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Downloads/Bike_Sales_Analytical_Report_Final.docx" TargetMode="Externa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4.svg"/><Relationship Id="rId2" Type="http://schemas.openxmlformats.org/officeDocument/2006/relationships/image" Target="../media/image3.png"/><Relationship Id="rId1" Type="http://schemas.openxmlformats.org/officeDocument/2006/relationships/hyperlink" Target="#' Dashboard'!A1"/></Relationships>
</file>

<file path=xl/drawings/drawing1.xml><?xml version="1.0" encoding="utf-8"?>
<xdr:wsDr xmlns:xdr="http://schemas.openxmlformats.org/drawingml/2006/spreadsheetDrawing" xmlns:a="http://schemas.openxmlformats.org/drawingml/2006/main">
  <xdr:twoCellAnchor>
    <xdr:from>
      <xdr:col>1</xdr:col>
      <xdr:colOff>584200</xdr:colOff>
      <xdr:row>0</xdr:row>
      <xdr:rowOff>31750</xdr:rowOff>
    </xdr:from>
    <xdr:to>
      <xdr:col>17</xdr:col>
      <xdr:colOff>590550</xdr:colOff>
      <xdr:row>4</xdr:row>
      <xdr:rowOff>165100</xdr:rowOff>
    </xdr:to>
    <xdr:sp macro="" textlink="">
      <xdr:nvSpPr>
        <xdr:cNvPr id="2" name="Rectangle: Rounded Corners 1">
          <a:extLst>
            <a:ext uri="{FF2B5EF4-FFF2-40B4-BE49-F238E27FC236}">
              <a16:creationId xmlns:a16="http://schemas.microsoft.com/office/drawing/2014/main" id="{05AF3206-CE72-214E-0DB1-A50CC9B0ADB1}"/>
            </a:ext>
          </a:extLst>
        </xdr:cNvPr>
        <xdr:cNvSpPr/>
      </xdr:nvSpPr>
      <xdr:spPr>
        <a:xfrm>
          <a:off x="1193800" y="31750"/>
          <a:ext cx="10128250" cy="869950"/>
        </a:xfrm>
        <a:prstGeom prst="roundRect">
          <a:avLst/>
        </a:prstGeom>
        <a:solidFill>
          <a:schemeClr val="accent2">
            <a:lumMod val="60000"/>
            <a:lumOff val="4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lvl="0" algn="ctr"/>
          <a:r>
            <a:rPr lang="en-US" sz="2800" b="1">
              <a:solidFill>
                <a:sysClr val="windowText" lastClr="000000"/>
              </a:solidFill>
            </a:rPr>
            <a:t>BIKE SALES PERFORMANCE DASHBOARD</a:t>
          </a:r>
          <a:endParaRPr lang="en-US" sz="1100" b="1">
            <a:solidFill>
              <a:sysClr val="windowText" lastClr="000000"/>
            </a:solidFill>
          </a:endParaRPr>
        </a:p>
        <a:p>
          <a:pPr lvl="0" algn="ctr"/>
          <a:r>
            <a:rPr lang="en-US" sz="1600" b="0">
              <a:solidFill>
                <a:sysClr val="windowText" lastClr="000000"/>
              </a:solidFill>
            </a:rPr>
            <a:t>Sales • Customers • Products • Geographic Performance</a:t>
          </a:r>
        </a:p>
      </xdr:txBody>
    </xdr:sp>
    <xdr:clientData/>
  </xdr:twoCellAnchor>
  <xdr:twoCellAnchor>
    <xdr:from>
      <xdr:col>2</xdr:col>
      <xdr:colOff>69850</xdr:colOff>
      <xdr:row>5</xdr:row>
      <xdr:rowOff>19050</xdr:rowOff>
    </xdr:from>
    <xdr:to>
      <xdr:col>4</xdr:col>
      <xdr:colOff>533400</xdr:colOff>
      <xdr:row>7</xdr:row>
      <xdr:rowOff>6350</xdr:rowOff>
    </xdr:to>
    <xdr:sp macro="" textlink="$I$49">
      <xdr:nvSpPr>
        <xdr:cNvPr id="3" name="Rectangle: Rounded Corners 2">
          <a:extLst>
            <a:ext uri="{FF2B5EF4-FFF2-40B4-BE49-F238E27FC236}">
              <a16:creationId xmlns:a16="http://schemas.microsoft.com/office/drawing/2014/main" id="{B7A83F15-E58B-401C-2436-998F262096A9}"/>
            </a:ext>
          </a:extLst>
        </xdr:cNvPr>
        <xdr:cNvSpPr/>
      </xdr:nvSpPr>
      <xdr:spPr>
        <a:xfrm>
          <a:off x="1289050" y="939800"/>
          <a:ext cx="1682750" cy="355600"/>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ar-EG" sz="1100" b="1" i="0" u="none" strike="noStrike">
              <a:solidFill>
                <a:srgbClr val="000000"/>
              </a:solidFill>
              <a:latin typeface="Aptos Narrow"/>
            </a:rPr>
            <a:t> </a:t>
          </a:r>
          <a:r>
            <a:rPr lang="en-US" sz="1100" b="1" i="0" u="none" strike="noStrike">
              <a:solidFill>
                <a:srgbClr val="000000"/>
              </a:solidFill>
              <a:latin typeface="Aptos Narrow"/>
            </a:rPr>
            <a:t>Total</a:t>
          </a:r>
          <a:r>
            <a:rPr lang="en-US" sz="1100" b="1" i="0" u="none" strike="noStrike" baseline="0">
              <a:solidFill>
                <a:srgbClr val="000000"/>
              </a:solidFill>
              <a:latin typeface="Aptos Narrow"/>
            </a:rPr>
            <a:t> Sales    </a:t>
          </a:r>
          <a:fld id="{73F4094D-4EBF-4F10-866D-6690CB8DF47E}" type="TxLink">
            <a:rPr lang="en-US" sz="1100" b="1" i="0" u="none" strike="noStrike">
              <a:solidFill>
                <a:srgbClr val="000000"/>
              </a:solidFill>
              <a:latin typeface="Aptos Narrow"/>
            </a:rPr>
            <a:pPr algn="l"/>
            <a:t> 1,409,500 </a:t>
          </a:fld>
          <a:endParaRPr lang="en-US" sz="1100" b="1">
            <a:solidFill>
              <a:schemeClr val="tx1"/>
            </a:solidFill>
          </a:endParaRPr>
        </a:p>
      </xdr:txBody>
    </xdr:sp>
    <xdr:clientData/>
  </xdr:twoCellAnchor>
  <xdr:twoCellAnchor>
    <xdr:from>
      <xdr:col>6</xdr:col>
      <xdr:colOff>361950</xdr:colOff>
      <xdr:row>5</xdr:row>
      <xdr:rowOff>12700</xdr:rowOff>
    </xdr:from>
    <xdr:to>
      <xdr:col>8</xdr:col>
      <xdr:colOff>863600</xdr:colOff>
      <xdr:row>7</xdr:row>
      <xdr:rowOff>6350</xdr:rowOff>
    </xdr:to>
    <xdr:sp macro="" textlink="$J$49">
      <xdr:nvSpPr>
        <xdr:cNvPr id="4" name="Rectangle: Rounded Corners 3">
          <a:extLst>
            <a:ext uri="{FF2B5EF4-FFF2-40B4-BE49-F238E27FC236}">
              <a16:creationId xmlns:a16="http://schemas.microsoft.com/office/drawing/2014/main" id="{E5AF319F-D3AC-44F4-99BB-D2F215E31A53}"/>
            </a:ext>
          </a:extLst>
        </xdr:cNvPr>
        <xdr:cNvSpPr/>
      </xdr:nvSpPr>
      <xdr:spPr>
        <a:xfrm>
          <a:off x="4019550" y="933450"/>
          <a:ext cx="1720850" cy="361950"/>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i="0" u="none" strike="noStrike">
              <a:solidFill>
                <a:srgbClr val="000000"/>
              </a:solidFill>
              <a:latin typeface="Aptos Narrow"/>
            </a:rPr>
            <a:t>  Total Profit      </a:t>
          </a:r>
          <a:fld id="{4358C805-AB05-4DC9-A92F-91E080152160}" type="TxLink">
            <a:rPr lang="en-US" sz="1100" b="1" i="0" u="none" strike="noStrike">
              <a:solidFill>
                <a:srgbClr val="000000"/>
              </a:solidFill>
              <a:latin typeface="Aptos Narrow"/>
            </a:rPr>
            <a:pPr algn="l"/>
            <a:t> 513,460 </a:t>
          </a:fld>
          <a:endParaRPr lang="en-US" sz="1100" b="1">
            <a:solidFill>
              <a:schemeClr val="tx1"/>
            </a:solidFill>
          </a:endParaRPr>
        </a:p>
      </xdr:txBody>
    </xdr:sp>
    <xdr:clientData/>
  </xdr:twoCellAnchor>
  <xdr:twoCellAnchor>
    <xdr:from>
      <xdr:col>10</xdr:col>
      <xdr:colOff>184150</xdr:colOff>
      <xdr:row>5</xdr:row>
      <xdr:rowOff>19050</xdr:rowOff>
    </xdr:from>
    <xdr:to>
      <xdr:col>13</xdr:col>
      <xdr:colOff>127000</xdr:colOff>
      <xdr:row>7</xdr:row>
      <xdr:rowOff>19050</xdr:rowOff>
    </xdr:to>
    <xdr:sp macro="" textlink="$K$49">
      <xdr:nvSpPr>
        <xdr:cNvPr id="5" name="Rectangle: Rounded Corners 4">
          <a:extLst>
            <a:ext uri="{FF2B5EF4-FFF2-40B4-BE49-F238E27FC236}">
              <a16:creationId xmlns:a16="http://schemas.microsoft.com/office/drawing/2014/main" id="{230A197B-4C65-4872-AA74-79B8D7AFD910}"/>
            </a:ext>
          </a:extLst>
        </xdr:cNvPr>
        <xdr:cNvSpPr/>
      </xdr:nvSpPr>
      <xdr:spPr>
        <a:xfrm>
          <a:off x="6648450" y="939800"/>
          <a:ext cx="1771650" cy="368300"/>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i="0" u="none" strike="noStrike">
              <a:solidFill>
                <a:srgbClr val="000000"/>
              </a:solidFill>
              <a:latin typeface="Aptos Narrow"/>
            </a:rPr>
            <a:t>Unit Sold        </a:t>
          </a:r>
          <a:fld id="{0B93EE86-95CB-4DDE-A8A7-FE54ECBAEFA7}" type="TxLink">
            <a:rPr lang="en-US" sz="1100" b="1" i="0" u="none" strike="noStrike">
              <a:solidFill>
                <a:srgbClr val="000000"/>
              </a:solidFill>
              <a:latin typeface="Aptos Narrow"/>
            </a:rPr>
            <a:pPr algn="l"/>
            <a:t> 1,483 </a:t>
          </a:fld>
          <a:endParaRPr lang="en-US" sz="1100" b="1">
            <a:solidFill>
              <a:schemeClr val="tx1"/>
            </a:solidFill>
          </a:endParaRPr>
        </a:p>
      </xdr:txBody>
    </xdr:sp>
    <xdr:clientData/>
  </xdr:twoCellAnchor>
  <xdr:twoCellAnchor>
    <xdr:from>
      <xdr:col>14</xdr:col>
      <xdr:colOff>571500</xdr:colOff>
      <xdr:row>5</xdr:row>
      <xdr:rowOff>12700</xdr:rowOff>
    </xdr:from>
    <xdr:to>
      <xdr:col>17</xdr:col>
      <xdr:colOff>539750</xdr:colOff>
      <xdr:row>7</xdr:row>
      <xdr:rowOff>12700</xdr:rowOff>
    </xdr:to>
    <xdr:sp macro="" textlink="$L$49">
      <xdr:nvSpPr>
        <xdr:cNvPr id="6" name="Rectangle: Rounded Corners 5">
          <a:extLst>
            <a:ext uri="{FF2B5EF4-FFF2-40B4-BE49-F238E27FC236}">
              <a16:creationId xmlns:a16="http://schemas.microsoft.com/office/drawing/2014/main" id="{4B453DC3-621E-43B6-82D0-AF73638A664C}"/>
            </a:ext>
          </a:extLst>
        </xdr:cNvPr>
        <xdr:cNvSpPr/>
      </xdr:nvSpPr>
      <xdr:spPr>
        <a:xfrm>
          <a:off x="9474200" y="933450"/>
          <a:ext cx="1797050" cy="368300"/>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i="0" u="none" strike="noStrike">
              <a:solidFill>
                <a:schemeClr val="tx1"/>
              </a:solidFill>
              <a:latin typeface="Aptos Narrow"/>
            </a:rPr>
            <a:t> </a:t>
          </a:r>
          <a:r>
            <a:rPr lang="en-US" b="1">
              <a:solidFill>
                <a:schemeClr val="tx1"/>
              </a:solidFill>
            </a:rPr>
            <a:t>Transactions          </a:t>
          </a:r>
          <a:fld id="{81888DB6-25A6-4E64-AC84-86ABFA2B5D7C}" type="TxLink">
            <a:rPr lang="en-US" sz="1100" b="1" i="0" u="none" strike="noStrike">
              <a:solidFill>
                <a:schemeClr val="tx1"/>
              </a:solidFill>
              <a:latin typeface="Aptos Narrow"/>
            </a:rPr>
            <a:pPr algn="l"/>
            <a:t>752</a:t>
          </a:fld>
          <a:endParaRPr lang="en-US" sz="1100" b="1">
            <a:solidFill>
              <a:schemeClr val="tx1"/>
            </a:solidFill>
          </a:endParaRPr>
        </a:p>
      </xdr:txBody>
    </xdr:sp>
    <xdr:clientData/>
  </xdr:twoCellAnchor>
  <xdr:twoCellAnchor>
    <xdr:from>
      <xdr:col>1</xdr:col>
      <xdr:colOff>565150</xdr:colOff>
      <xdr:row>7</xdr:row>
      <xdr:rowOff>57150</xdr:rowOff>
    </xdr:from>
    <xdr:to>
      <xdr:col>9</xdr:col>
      <xdr:colOff>508000</xdr:colOff>
      <xdr:row>15</xdr:row>
      <xdr:rowOff>158750</xdr:rowOff>
    </xdr:to>
    <xdr:graphicFrame macro="">
      <xdr:nvGraphicFramePr>
        <xdr:cNvPr id="7" name="Chart 6">
          <a:extLst>
            <a:ext uri="{FF2B5EF4-FFF2-40B4-BE49-F238E27FC236}">
              <a16:creationId xmlns:a16="http://schemas.microsoft.com/office/drawing/2014/main" id="{2096D915-86CD-4086-9A6B-C8DAACB022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577850</xdr:colOff>
      <xdr:row>7</xdr:row>
      <xdr:rowOff>63500</xdr:rowOff>
    </xdr:from>
    <xdr:to>
      <xdr:col>17</xdr:col>
      <xdr:colOff>552450</xdr:colOff>
      <xdr:row>15</xdr:row>
      <xdr:rowOff>165100</xdr:rowOff>
    </xdr:to>
    <xdr:graphicFrame macro="">
      <xdr:nvGraphicFramePr>
        <xdr:cNvPr id="8" name="Chart 7">
          <a:extLst>
            <a:ext uri="{FF2B5EF4-FFF2-40B4-BE49-F238E27FC236}">
              <a16:creationId xmlns:a16="http://schemas.microsoft.com/office/drawing/2014/main" id="{1C6977F2-2CF1-493F-A08C-1E76F6470C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571500</xdr:colOff>
      <xdr:row>24</xdr:row>
      <xdr:rowOff>76200</xdr:rowOff>
    </xdr:from>
    <xdr:to>
      <xdr:col>9</xdr:col>
      <xdr:colOff>393700</xdr:colOff>
      <xdr:row>32</xdr:row>
      <xdr:rowOff>165100</xdr:rowOff>
    </xdr:to>
    <xdr:graphicFrame macro="">
      <xdr:nvGraphicFramePr>
        <xdr:cNvPr id="9" name="Chart 8">
          <a:extLst>
            <a:ext uri="{FF2B5EF4-FFF2-40B4-BE49-F238E27FC236}">
              <a16:creationId xmlns:a16="http://schemas.microsoft.com/office/drawing/2014/main" id="{BAD00DB7-E6C9-4549-8562-84B251DF2B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438150</xdr:colOff>
      <xdr:row>24</xdr:row>
      <xdr:rowOff>63500</xdr:rowOff>
    </xdr:from>
    <xdr:to>
      <xdr:col>17</xdr:col>
      <xdr:colOff>565150</xdr:colOff>
      <xdr:row>32</xdr:row>
      <xdr:rowOff>165100</xdr:rowOff>
    </xdr:to>
    <xdr:graphicFrame macro="">
      <xdr:nvGraphicFramePr>
        <xdr:cNvPr id="10" name="Chart 9">
          <a:extLst>
            <a:ext uri="{FF2B5EF4-FFF2-40B4-BE49-F238E27FC236}">
              <a16:creationId xmlns:a16="http://schemas.microsoft.com/office/drawing/2014/main" id="{128A0352-3A04-49FA-8718-BB00714C1B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0</xdr:row>
      <xdr:rowOff>0</xdr:rowOff>
    </xdr:from>
    <xdr:to>
      <xdr:col>1</xdr:col>
      <xdr:colOff>469900</xdr:colOff>
      <xdr:row>4</xdr:row>
      <xdr:rowOff>158044</xdr:rowOff>
    </xdr:to>
    <mc:AlternateContent xmlns:mc="http://schemas.openxmlformats.org/markup-compatibility/2006" xmlns:a14="http://schemas.microsoft.com/office/drawing/2010/main">
      <mc:Choice Requires="a14">
        <xdr:graphicFrame macro="">
          <xdr:nvGraphicFramePr>
            <xdr:cNvPr id="11" name="Sub_Category">
              <a:extLst>
                <a:ext uri="{FF2B5EF4-FFF2-40B4-BE49-F238E27FC236}">
                  <a16:creationId xmlns:a16="http://schemas.microsoft.com/office/drawing/2014/main" id="{FDAEC225-72F4-43AB-AD0C-08C0847B6F8A}"/>
                </a:ext>
              </a:extLst>
            </xdr:cNvPr>
            <xdr:cNvGraphicFramePr/>
          </xdr:nvGraphicFramePr>
          <xdr:xfrm>
            <a:off x="0" y="0"/>
            <a:ext cx="0" cy="0"/>
          </xdr:xfrm>
          <a:graphic>
            <a:graphicData uri="http://schemas.microsoft.com/office/drawing/2010/slicer">
              <sle:slicer xmlns:sle="http://schemas.microsoft.com/office/drawing/2010/slicer" name="Sub_Category"/>
            </a:graphicData>
          </a:graphic>
        </xdr:graphicFrame>
      </mc:Choice>
      <mc:Fallback xmlns="">
        <xdr:sp macro="" textlink="">
          <xdr:nvSpPr>
            <xdr:cNvPr id="0" name=""/>
            <xdr:cNvSpPr>
              <a:spLocks noTextEdit="1"/>
            </xdr:cNvSpPr>
          </xdr:nvSpPr>
          <xdr:spPr>
            <a:xfrm>
              <a:off x="0" y="0"/>
              <a:ext cx="1079500" cy="8946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6350</xdr:rowOff>
    </xdr:from>
    <xdr:to>
      <xdr:col>1</xdr:col>
      <xdr:colOff>457200</xdr:colOff>
      <xdr:row>16</xdr:row>
      <xdr:rowOff>88900</xdr:rowOff>
    </xdr:to>
    <mc:AlternateContent xmlns:mc="http://schemas.openxmlformats.org/markup-compatibility/2006" xmlns:a14="http://schemas.microsoft.com/office/drawing/2010/main">
      <mc:Choice Requires="a14">
        <xdr:graphicFrame macro="">
          <xdr:nvGraphicFramePr>
            <xdr:cNvPr id="12" name="Country">
              <a:extLst>
                <a:ext uri="{FF2B5EF4-FFF2-40B4-BE49-F238E27FC236}">
                  <a16:creationId xmlns:a16="http://schemas.microsoft.com/office/drawing/2014/main" id="{0F80346A-874E-458C-91F2-84646C9F361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927100"/>
              <a:ext cx="1066800" cy="2108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16</xdr:row>
      <xdr:rowOff>114300</xdr:rowOff>
    </xdr:from>
    <xdr:to>
      <xdr:col>1</xdr:col>
      <xdr:colOff>493889</xdr:colOff>
      <xdr:row>22</xdr:row>
      <xdr:rowOff>172156</xdr:rowOff>
    </xdr:to>
    <mc:AlternateContent xmlns:mc="http://schemas.openxmlformats.org/markup-compatibility/2006" xmlns:a14="http://schemas.microsoft.com/office/drawing/2010/main">
      <mc:Choice Requires="a14">
        <xdr:graphicFrame macro="">
          <xdr:nvGraphicFramePr>
            <xdr:cNvPr id="13" name="Customaleer_Gender">
              <a:extLst>
                <a:ext uri="{FF2B5EF4-FFF2-40B4-BE49-F238E27FC236}">
                  <a16:creationId xmlns:a16="http://schemas.microsoft.com/office/drawing/2014/main" id="{D80D23D4-AFC8-457B-A989-B2BD9BD9E625}"/>
                </a:ext>
              </a:extLst>
            </xdr:cNvPr>
            <xdr:cNvGraphicFramePr/>
          </xdr:nvGraphicFramePr>
          <xdr:xfrm>
            <a:off x="0" y="0"/>
            <a:ext cx="0" cy="0"/>
          </xdr:xfrm>
          <a:graphic>
            <a:graphicData uri="http://schemas.microsoft.com/office/drawing/2010/slicer">
              <sle:slicer xmlns:sle="http://schemas.microsoft.com/office/drawing/2010/slicer" name="Customaleer_Gender"/>
            </a:graphicData>
          </a:graphic>
        </xdr:graphicFrame>
      </mc:Choice>
      <mc:Fallback xmlns="">
        <xdr:sp macro="" textlink="">
          <xdr:nvSpPr>
            <xdr:cNvPr id="0" name=""/>
            <xdr:cNvSpPr>
              <a:spLocks noTextEdit="1"/>
            </xdr:cNvSpPr>
          </xdr:nvSpPr>
          <xdr:spPr>
            <a:xfrm>
              <a:off x="12700" y="3060700"/>
              <a:ext cx="1090789" cy="11627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25400</xdr:colOff>
      <xdr:row>23</xdr:row>
      <xdr:rowOff>19050</xdr:rowOff>
    </xdr:from>
    <xdr:to>
      <xdr:col>1</xdr:col>
      <xdr:colOff>514350</xdr:colOff>
      <xdr:row>32</xdr:row>
      <xdr:rowOff>158749</xdr:rowOff>
    </xdr:to>
    <mc:AlternateContent xmlns:mc="http://schemas.openxmlformats.org/markup-compatibility/2006" xmlns:a14="http://schemas.microsoft.com/office/drawing/2010/main">
      <mc:Choice Requires="a14">
        <xdr:graphicFrame macro="">
          <xdr:nvGraphicFramePr>
            <xdr:cNvPr id="14" name="Age Group">
              <a:extLst>
                <a:ext uri="{FF2B5EF4-FFF2-40B4-BE49-F238E27FC236}">
                  <a16:creationId xmlns:a16="http://schemas.microsoft.com/office/drawing/2014/main" id="{65CA7B4F-6BA4-4DB4-8412-3532082E4E39}"/>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25400" y="4254500"/>
              <a:ext cx="1098550" cy="17970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558800</xdr:colOff>
      <xdr:row>16</xdr:row>
      <xdr:rowOff>19050</xdr:rowOff>
    </xdr:from>
    <xdr:to>
      <xdr:col>17</xdr:col>
      <xdr:colOff>558800</xdr:colOff>
      <xdr:row>24</xdr:row>
      <xdr:rowOff>19050</xdr:rowOff>
    </xdr:to>
    <xdr:graphicFrame macro="">
      <xdr:nvGraphicFramePr>
        <xdr:cNvPr id="15" name="Chart 14">
          <a:extLst>
            <a:ext uri="{FF2B5EF4-FFF2-40B4-BE49-F238E27FC236}">
              <a16:creationId xmlns:a16="http://schemas.microsoft.com/office/drawing/2014/main" id="{4EEE304C-17B3-4E87-A80B-E513E9DDD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571500</xdr:colOff>
      <xdr:row>0</xdr:row>
      <xdr:rowOff>0</xdr:rowOff>
    </xdr:from>
    <xdr:to>
      <xdr:col>18</xdr:col>
      <xdr:colOff>444500</xdr:colOff>
      <xdr:row>4</xdr:row>
      <xdr:rowOff>0</xdr:rowOff>
    </xdr:to>
    <xdr:pic>
      <xdr:nvPicPr>
        <xdr:cNvPr id="19" name="Graphic 18" descr="Newspaper with solid fill">
          <a:hlinkClick xmlns:r="http://schemas.openxmlformats.org/officeDocument/2006/relationships" r:id="rId6"/>
          <a:extLst>
            <a:ext uri="{FF2B5EF4-FFF2-40B4-BE49-F238E27FC236}">
              <a16:creationId xmlns:a16="http://schemas.microsoft.com/office/drawing/2014/main" id="{479E6461-734D-FE64-AFD6-DB15947B06E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303000" y="0"/>
          <a:ext cx="482600" cy="7366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77</xdr:col>
      <xdr:colOff>275166</xdr:colOff>
      <xdr:row>0</xdr:row>
      <xdr:rowOff>28220</xdr:rowOff>
    </xdr:from>
    <xdr:to>
      <xdr:col>78</xdr:col>
      <xdr:colOff>338666</xdr:colOff>
      <xdr:row>2</xdr:row>
      <xdr:rowOff>176388</xdr:rowOff>
    </xdr:to>
    <xdr:pic>
      <xdr:nvPicPr>
        <xdr:cNvPr id="2" name="Graphic 1" descr="Back with solid fill">
          <a:hlinkClick xmlns:r="http://schemas.openxmlformats.org/officeDocument/2006/relationships" r:id="rId1"/>
          <a:extLst>
            <a:ext uri="{FF2B5EF4-FFF2-40B4-BE49-F238E27FC236}">
              <a16:creationId xmlns:a16="http://schemas.microsoft.com/office/drawing/2014/main" id="{279F5B12-0EE6-4204-A858-D3948F4FF8B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8257722" y="28220"/>
          <a:ext cx="670278" cy="51505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49.667173148147" createdVersion="8" refreshedVersion="8" minRefreshableVersion="3" recordCount="753" xr:uid="{3590CF01-0B40-49E2-8213-A2E5A17446BA}">
  <cacheSource type="worksheet">
    <worksheetSource ref="A1:S1048576" sheet="Sales Data"/>
  </cacheSource>
  <cacheFields count="21">
    <cacheField name="Date" numFmtId="0">
      <sharedItems containsNonDate="0" containsDate="1" containsString="0" containsBlank="1" minDate="2021-10-01T00:00:00" maxDate="2022-01-01T00:00:00" count="93">
        <d v="2021-11-01T00:00:00"/>
        <d v="2021-11-02T00:00:00"/>
        <d v="2021-11-08T00:00:00"/>
        <d v="2021-11-11T00:00:00"/>
        <d v="2021-11-18T00:00:00"/>
        <d v="2021-11-23T00:00:00"/>
        <d v="2021-11-26T00:00:00"/>
        <d v="2021-11-29T00:00:00"/>
        <d v="2021-11-30T00:00:00"/>
        <d v="2021-12-19T00:00:00"/>
        <d v="2021-10-13T00:00:00"/>
        <d v="2021-11-03T00:00:00"/>
        <d v="2021-11-07T00:00:00"/>
        <d v="2021-11-20T00:00:00"/>
        <d v="2021-11-22T00:00:00"/>
        <d v="2021-12-11T00:00:00"/>
        <d v="2021-12-12T00:00:00"/>
        <d v="2021-12-16T00:00:00"/>
        <d v="2021-12-17T00:00:00"/>
        <d v="2021-12-22T00:00:00"/>
        <d v="2021-10-24T00:00:00"/>
        <d v="2021-11-06T00:00:00"/>
        <d v="2021-11-14T00:00:00"/>
        <d v="2021-11-15T00:00:00"/>
        <d v="2021-11-25T00:00:00"/>
        <d v="2021-12-07T00:00:00"/>
        <d v="2021-12-08T00:00:00"/>
        <d v="2021-12-23T00:00:00"/>
        <d v="2021-12-24T00:00:00"/>
        <d v="2021-12-28T00:00:00"/>
        <d v="2021-11-10T00:00:00"/>
        <d v="2021-11-16T00:00:00"/>
        <d v="2021-11-28T00:00:00"/>
        <d v="2021-12-01T00:00:00"/>
        <d v="2021-10-04T00:00:00"/>
        <d v="2021-10-08T00:00:00"/>
        <d v="2021-10-28T00:00:00"/>
        <d v="2021-10-31T00:00:00"/>
        <d v="2021-11-17T00:00:00"/>
        <d v="2021-11-12T00:00:00"/>
        <d v="2021-11-24T00:00:00"/>
        <d v="2021-12-04T00:00:00"/>
        <d v="2021-12-29T00:00:00"/>
        <d v="2021-10-21T00:00:00"/>
        <d v="2021-10-25T00:00:00"/>
        <d v="2021-10-26T00:00:00"/>
        <d v="2021-10-30T00:00:00"/>
        <d v="2021-12-06T00:00:00"/>
        <d v="2021-12-10T00:00:00"/>
        <d v="2021-12-15T00:00:00"/>
        <d v="2021-12-21T00:00:00"/>
        <d v="2021-12-30T00:00:00"/>
        <d v="2021-10-06T00:00:00"/>
        <d v="2021-10-15T00:00:00"/>
        <d v="2021-11-05T00:00:00"/>
        <d v="2021-11-13T00:00:00"/>
        <d v="2021-11-27T00:00:00"/>
        <d v="2021-12-03T00:00:00"/>
        <d v="2021-12-18T00:00:00"/>
        <d v="2021-12-26T00:00:00"/>
        <d v="2021-10-22T00:00:00"/>
        <d v="2021-11-09T00:00:00"/>
        <d v="2021-11-21T00:00:00"/>
        <d v="2021-12-25T00:00:00"/>
        <d v="2021-12-31T00:00:00"/>
        <d v="2021-10-11T00:00:00"/>
        <d v="2021-10-12T00:00:00"/>
        <d v="2021-10-17T00:00:00"/>
        <d v="2021-10-19T00:00:00"/>
        <d v="2021-10-20T00:00:00"/>
        <d v="2021-12-09T00:00:00"/>
        <d v="2021-12-27T00:00:00"/>
        <d v="2021-10-01T00:00:00"/>
        <d v="2021-10-09T00:00:00"/>
        <d v="2021-10-18T00:00:00"/>
        <d v="2021-10-23T00:00:00"/>
        <d v="2021-10-29T00:00:00"/>
        <d v="2021-12-05T00:00:00"/>
        <d v="2021-12-13T00:00:00"/>
        <d v="2021-12-20T00:00:00"/>
        <d v="2021-10-02T00:00:00"/>
        <d v="2021-10-14T00:00:00"/>
        <d v="2021-10-16T00:00:00"/>
        <d v="2021-12-02T00:00:00"/>
        <d v="2021-10-03T00:00:00"/>
        <d v="2021-10-05T00:00:00"/>
        <d v="2021-10-27T00:00:00"/>
        <d v="2021-11-19T00:00:00"/>
        <d v="2021-12-14T00:00:00"/>
        <d v="2021-10-07T00:00:00"/>
        <d v="2021-10-10T00:00:00"/>
        <d v="2021-11-04T00:00:00"/>
        <m/>
      </sharedItems>
      <fieldGroup par="20"/>
    </cacheField>
    <cacheField name="Month " numFmtId="0">
      <sharedItems containsBlank="1" count="4">
        <s v="November"/>
        <s v="December"/>
        <s v="October"/>
        <m/>
      </sharedItems>
    </cacheField>
    <cacheField name="Month Num" numFmtId="0">
      <sharedItems containsString="0" containsBlank="1" containsNumber="1" containsInteger="1" minValue="10" maxValue="12"/>
    </cacheField>
    <cacheField name="Day" numFmtId="0">
      <sharedItems containsBlank="1" count="8">
        <s v="Monday"/>
        <s v="Tuesday"/>
        <s v="Thursday"/>
        <s v="Friday"/>
        <s v="Sunday"/>
        <s v="Wednesday"/>
        <s v="Saturday"/>
        <m/>
      </sharedItems>
    </cacheField>
    <cacheField name="Customaleer_Age" numFmtId="0">
      <sharedItems containsString="0" containsBlank="1" containsNumber="1" containsInteger="1" minValue="17" maxValue="75"/>
    </cacheField>
    <cacheField name="Customaleer_Gender" numFmtId="0">
      <sharedItems containsBlank="1" count="3">
        <s v="male"/>
        <s v="Female"/>
        <m/>
      </sharedItems>
    </cacheField>
    <cacheField name="Country" numFmtId="0">
      <sharedItems containsBlank="1" count="9">
        <s v="Australia"/>
        <s v="France"/>
        <s v="United States"/>
        <s v="Germany"/>
        <s v="Canada"/>
        <s v="United Kingdomale"/>
        <m/>
        <s v="Femalerance" u="1"/>
        <s v="Germaleany" u="1"/>
      </sharedItems>
    </cacheField>
    <cacheField name="State" numFmtId="0">
      <sharedItems containsBlank="1" count="35">
        <s v="Victoria"/>
        <s v="New South Wales"/>
        <s v="Queensland"/>
        <s v="Tasmania"/>
        <s v="Nord"/>
        <s v="Washington"/>
        <s v="Bayern"/>
        <s v="California"/>
        <s v="Hessen"/>
        <s v="Oregon"/>
        <s v="South Australia"/>
        <s v="British Columalebia"/>
        <s v="Nordrhein-WestFemalealen"/>
        <s v="Saarland"/>
        <s v="Hamaleburg"/>
        <s v="Seine (Paris)"/>
        <s v="England"/>
        <s v="Seine Saint Denis"/>
        <s v="Seine et malearne"/>
        <s v="Garonne (Haute)"/>
        <s v="Pas de Calais"/>
        <s v="Essonne"/>
        <s v="maleoselle"/>
        <s v="Hauts de Seine"/>
        <s v="Somalemalee"/>
        <s v="Loir et Cher"/>
        <s v="Loiret"/>
        <s v="Yveline"/>
        <s v="Charente-malearitimalee"/>
        <s v="Brandenburg"/>
        <s v="Val de malearne"/>
        <s v="Texas"/>
        <m/>
        <s v="Tasmaleania" u="1"/>
        <s v="CaliFemaleornia" u="1"/>
      </sharedItems>
    </cacheField>
    <cacheField name="Sub_Category" numFmtId="0">
      <sharedItems containsBlank="1" count="4">
        <s v="Road Bikes"/>
        <s v="Mountain Bikes"/>
        <m/>
        <s v="maleountain Bikes" u="1"/>
      </sharedItems>
    </cacheField>
    <cacheField name="Bike_Color" numFmtId="0">
      <sharedItems containsBlank="1" count="5">
        <s v="Black"/>
        <s v="Red"/>
        <s v="Silver"/>
        <s v="Yellow"/>
        <m/>
      </sharedItems>
    </cacheField>
    <cacheField name="Product" numFmtId="0">
      <sharedItems containsBlank="1" count="61">
        <s v="Road-750 Black, 48"/>
        <s v="Road-650 Red, 48"/>
        <s v="Road-650 Red, 58"/>
        <s v="Mountain-200 Silver, 46"/>
        <s v="Road-150 Red, 56"/>
        <s v="Road-150 Red, 62"/>
        <s v="Road-750 Black, 52"/>
        <s v="Road-750 Black, 58"/>
        <s v="Road-250 Red, 58"/>
        <s v="Road-650 Black, 62"/>
        <s v="Road-250 Black, 52"/>
        <s v="Road-550-W Yellow, 40"/>
        <s v="Mountain-500 Black, 40"/>
        <s v="Mountain-400-W Silver, 42"/>
        <s v="Road-250 Black, 58"/>
        <s v="Mountain-200 Black, 46"/>
        <s v="Road-150 Red, 48"/>
        <s v="Road-550-W Yellow, 42"/>
        <s v="Mountain-500 Silver, 42"/>
        <s v="Mountain-500 Black, 44"/>
        <s v="Mountain-200 Silver, 38"/>
        <s v="Mountain-500 Silver, 52"/>
        <s v="Road-750 Black, 44"/>
        <s v="Road-350-W Yellow, 48"/>
        <s v="Road-250 Black, 48"/>
        <s v="Mountain-200 Black, 38"/>
        <s v="Road-650 Black, 44"/>
        <s v="Road-250 Red, 44"/>
        <s v="Road-250 Black, 44"/>
        <s v="Road-350-W Yellow, 42"/>
        <s v="Road-150 Red, 52"/>
        <s v="Mountain-400-W Silver, 46"/>
        <s v="Road-250 Red, 48"/>
        <s v="Road-550-W Yellow, 48"/>
        <s v="Road-250 Red, 52"/>
        <s v="Road-550-W Yellow, 44"/>
        <s v="Road-550-W Yellow, 38"/>
        <s v="Road-350-W Yellow, 40"/>
        <s v="Road-350-W Yellow, 44"/>
        <s v="Road-650 Black, 60"/>
        <s v="Mountain-200 Silver, 42"/>
        <s v="Mountain-200 Black, 42"/>
        <s v="Road-650 Red, 44"/>
        <s v="Road-150 Red, 44"/>
        <s v="Road-650 Black, 58"/>
        <s v="Mountain-500 Black, 52"/>
        <s v="Mountain-500 Black, 48"/>
        <s v="Road-650 Red, 52"/>
        <s v="Road-650 Black, 52"/>
        <s v="Mountain-400-W Silver, 38"/>
        <s v="Road-650 Black, 48"/>
        <s v="Mountain-400-W Silver, 40"/>
        <s v="Road-650 Red, 62"/>
        <s v="Mountain-100 Black, 38"/>
        <s v="Mountain-100 Silver, 44"/>
        <s v="Mountain-100 Black, 42"/>
        <s v="Mountain-500 Black, 42"/>
        <s v="Mountain-100 Black, 48"/>
        <s v="Mountain-500 Silver, 40"/>
        <s v="Road-650 Red, 60"/>
        <m/>
      </sharedItems>
    </cacheField>
    <cacheField name="Order_Quantity" numFmtId="0">
      <sharedItems containsString="0" containsBlank="1" containsNumber="1" containsInteger="1" minValue="1" maxValue="4"/>
    </cacheField>
    <cacheField name="Unit_Cost" numFmtId="0">
      <sharedItems containsString="0" containsBlank="1" containsNumber="1" containsInteger="1" minValue="400" maxValue="900"/>
    </cacheField>
    <cacheField name="Unit_Price" numFmtId="0">
      <sharedItems containsString="0" containsBlank="1" containsNumber="1" containsInteger="1" minValue="650" maxValue="1400" count="12">
        <n v="1100"/>
        <n v="980"/>
        <n v="850"/>
        <n v="1400"/>
        <n v="920"/>
        <n v="800"/>
        <n v="760"/>
        <n v="720"/>
        <n v="840"/>
        <n v="650"/>
        <n v="950"/>
        <m/>
      </sharedItems>
    </cacheField>
    <cacheField name="Total Sales" numFmtId="0">
      <sharedItems containsString="0" containsBlank="1" containsNumber="1" containsInteger="1" minValue="650" maxValue="5600"/>
    </cacheField>
    <cacheField name="Total Cost" numFmtId="0">
      <sharedItems containsString="0" containsBlank="1" containsNumber="1" containsInteger="1" minValue="400" maxValue="3600"/>
    </cacheField>
    <cacheField name="Profit" numFmtId="0">
      <sharedItems containsString="0" containsBlank="1" containsNumber="1" containsInteger="1" minValue="250" maxValue="2000"/>
    </cacheField>
    <cacheField name="Profit Margin" numFmtId="0">
      <sharedItems containsString="0" containsBlank="1" containsNumber="1" minValue="0.35294117647058826" maxValue="0.47368421052631576"/>
    </cacheField>
    <cacheField name="Age Group" numFmtId="0">
      <sharedItems containsBlank="1" count="6">
        <s v="Under 25"/>
        <s v="25-34"/>
        <s v="35-44"/>
        <s v="45-54"/>
        <s v="55+"/>
        <m/>
      </sharedItems>
    </cacheField>
    <cacheField name="Days (Date)" numFmtId="0" databaseField="0">
      <fieldGroup base="0">
        <rangePr groupBy="days" startDate="2021-10-01T00:00:00" endDate="2022-01-01T00:00:00"/>
        <groupItems count="368">
          <s v="&lt;10/1/2021"/>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2"/>
        </groupItems>
      </fieldGroup>
    </cacheField>
    <cacheField name="Months (Date)" numFmtId="0" databaseField="0">
      <fieldGroup base="0">
        <rangePr groupBy="months" startDate="2021-10-01T00:00:00" endDate="2022-01-01T00:00:00"/>
        <groupItems count="14">
          <s v="&lt;10/1/2021"/>
          <s v="Jan"/>
          <s v="Feb"/>
          <s v="Mar"/>
          <s v="Apr"/>
          <s v="May"/>
          <s v="Jun"/>
          <s v="Jul"/>
          <s v="Aug"/>
          <s v="Sep"/>
          <s v="Oct"/>
          <s v="Nov"/>
          <s v="Dec"/>
          <s v="&gt;1/1/2022"/>
        </groupItems>
      </fieldGroup>
    </cacheField>
  </cacheFields>
  <extLst>
    <ext xmlns:x14="http://schemas.microsoft.com/office/spreadsheetml/2009/9/main" uri="{725AE2AE-9491-48be-B2B4-4EB974FC3084}">
      <x14:pivotCacheDefinition pivotCacheId="12940119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3">
  <r>
    <x v="0"/>
    <x v="0"/>
    <n v="11"/>
    <x v="0"/>
    <n v="17"/>
    <x v="0"/>
    <x v="0"/>
    <x v="0"/>
    <x v="0"/>
    <x v="0"/>
    <x v="0"/>
    <n v="3"/>
    <n v="700"/>
    <x v="0"/>
    <n v="3300"/>
    <n v="2100"/>
    <n v="1200"/>
    <n v="0.36363636363636365"/>
    <x v="0"/>
  </r>
  <r>
    <x v="1"/>
    <x v="0"/>
    <n v="11"/>
    <x v="1"/>
    <n v="17"/>
    <x v="0"/>
    <x v="0"/>
    <x v="1"/>
    <x v="0"/>
    <x v="1"/>
    <x v="1"/>
    <n v="3"/>
    <n v="620"/>
    <x v="1"/>
    <n v="2940"/>
    <n v="1860"/>
    <n v="1080"/>
    <n v="0.36734693877551022"/>
    <x v="0"/>
  </r>
  <r>
    <x v="1"/>
    <x v="0"/>
    <n v="11"/>
    <x v="1"/>
    <n v="17"/>
    <x v="0"/>
    <x v="0"/>
    <x v="0"/>
    <x v="0"/>
    <x v="0"/>
    <x v="0"/>
    <n v="3"/>
    <n v="700"/>
    <x v="0"/>
    <n v="3300"/>
    <n v="2100"/>
    <n v="1200"/>
    <n v="0.36363636363636365"/>
    <x v="0"/>
  </r>
  <r>
    <x v="2"/>
    <x v="0"/>
    <n v="11"/>
    <x v="0"/>
    <n v="17"/>
    <x v="0"/>
    <x v="0"/>
    <x v="1"/>
    <x v="0"/>
    <x v="1"/>
    <x v="1"/>
    <n v="1"/>
    <n v="620"/>
    <x v="1"/>
    <n v="980"/>
    <n v="620"/>
    <n v="360"/>
    <n v="0.36734693877551022"/>
    <x v="0"/>
  </r>
  <r>
    <x v="3"/>
    <x v="0"/>
    <n v="11"/>
    <x v="2"/>
    <n v="17"/>
    <x v="0"/>
    <x v="0"/>
    <x v="2"/>
    <x v="0"/>
    <x v="1"/>
    <x v="2"/>
    <n v="4"/>
    <n v="620"/>
    <x v="1"/>
    <n v="3920"/>
    <n v="2480"/>
    <n v="1440"/>
    <n v="0.36734693877551022"/>
    <x v="0"/>
  </r>
  <r>
    <x v="4"/>
    <x v="0"/>
    <n v="11"/>
    <x v="2"/>
    <n v="17"/>
    <x v="0"/>
    <x v="0"/>
    <x v="1"/>
    <x v="0"/>
    <x v="1"/>
    <x v="1"/>
    <n v="2"/>
    <n v="620"/>
    <x v="1"/>
    <n v="1960"/>
    <n v="1240"/>
    <n v="720"/>
    <n v="0.36734693877551022"/>
    <x v="0"/>
  </r>
  <r>
    <x v="4"/>
    <x v="0"/>
    <n v="11"/>
    <x v="2"/>
    <n v="17"/>
    <x v="0"/>
    <x v="0"/>
    <x v="2"/>
    <x v="0"/>
    <x v="1"/>
    <x v="2"/>
    <n v="1"/>
    <n v="620"/>
    <x v="1"/>
    <n v="980"/>
    <n v="620"/>
    <n v="360"/>
    <n v="0.36734693877551022"/>
    <x v="0"/>
  </r>
  <r>
    <x v="5"/>
    <x v="0"/>
    <n v="11"/>
    <x v="1"/>
    <n v="17"/>
    <x v="0"/>
    <x v="0"/>
    <x v="1"/>
    <x v="0"/>
    <x v="1"/>
    <x v="1"/>
    <n v="1"/>
    <n v="620"/>
    <x v="1"/>
    <n v="980"/>
    <n v="620"/>
    <n v="360"/>
    <n v="0.36734693877551022"/>
    <x v="0"/>
  </r>
  <r>
    <x v="6"/>
    <x v="0"/>
    <n v="11"/>
    <x v="3"/>
    <n v="17"/>
    <x v="1"/>
    <x v="0"/>
    <x v="1"/>
    <x v="0"/>
    <x v="1"/>
    <x v="2"/>
    <n v="1"/>
    <n v="620"/>
    <x v="1"/>
    <n v="980"/>
    <n v="620"/>
    <n v="360"/>
    <n v="0.36734693877551022"/>
    <x v="0"/>
  </r>
  <r>
    <x v="7"/>
    <x v="0"/>
    <n v="11"/>
    <x v="0"/>
    <n v="17"/>
    <x v="1"/>
    <x v="0"/>
    <x v="3"/>
    <x v="0"/>
    <x v="0"/>
    <x v="0"/>
    <n v="4"/>
    <n v="700"/>
    <x v="0"/>
    <n v="4400"/>
    <n v="2800"/>
    <n v="1600"/>
    <n v="0.36363636363636365"/>
    <x v="0"/>
  </r>
  <r>
    <x v="7"/>
    <x v="0"/>
    <n v="11"/>
    <x v="0"/>
    <n v="17"/>
    <x v="0"/>
    <x v="1"/>
    <x v="4"/>
    <x v="1"/>
    <x v="2"/>
    <x v="3"/>
    <n v="1"/>
    <n v="550"/>
    <x v="2"/>
    <n v="850"/>
    <n v="550"/>
    <n v="300"/>
    <n v="0.35294117647058826"/>
    <x v="0"/>
  </r>
  <r>
    <x v="8"/>
    <x v="0"/>
    <n v="11"/>
    <x v="1"/>
    <n v="17"/>
    <x v="0"/>
    <x v="0"/>
    <x v="1"/>
    <x v="0"/>
    <x v="1"/>
    <x v="1"/>
    <n v="3"/>
    <n v="620"/>
    <x v="1"/>
    <n v="2940"/>
    <n v="1860"/>
    <n v="1080"/>
    <n v="0.36734693877551022"/>
    <x v="0"/>
  </r>
  <r>
    <x v="9"/>
    <x v="1"/>
    <n v="12"/>
    <x v="4"/>
    <n v="17"/>
    <x v="0"/>
    <x v="1"/>
    <x v="4"/>
    <x v="1"/>
    <x v="2"/>
    <x v="3"/>
    <n v="4"/>
    <n v="550"/>
    <x v="2"/>
    <n v="3400"/>
    <n v="2200"/>
    <n v="1200"/>
    <n v="0.35294117647058826"/>
    <x v="0"/>
  </r>
  <r>
    <x v="10"/>
    <x v="2"/>
    <n v="10"/>
    <x v="5"/>
    <n v="18"/>
    <x v="1"/>
    <x v="2"/>
    <x v="5"/>
    <x v="0"/>
    <x v="1"/>
    <x v="4"/>
    <n v="3"/>
    <n v="900"/>
    <x v="3"/>
    <n v="4200"/>
    <n v="2700"/>
    <n v="1500"/>
    <n v="0.35714285714285715"/>
    <x v="0"/>
  </r>
  <r>
    <x v="11"/>
    <x v="0"/>
    <n v="11"/>
    <x v="5"/>
    <n v="18"/>
    <x v="1"/>
    <x v="0"/>
    <x v="2"/>
    <x v="0"/>
    <x v="1"/>
    <x v="5"/>
    <n v="4"/>
    <n v="900"/>
    <x v="3"/>
    <n v="5600"/>
    <n v="3600"/>
    <n v="2000"/>
    <n v="0.35714285714285715"/>
    <x v="0"/>
  </r>
  <r>
    <x v="12"/>
    <x v="0"/>
    <n v="11"/>
    <x v="4"/>
    <n v="18"/>
    <x v="1"/>
    <x v="0"/>
    <x v="2"/>
    <x v="0"/>
    <x v="1"/>
    <x v="5"/>
    <n v="1"/>
    <n v="900"/>
    <x v="3"/>
    <n v="1400"/>
    <n v="900"/>
    <n v="500"/>
    <n v="0.35714285714285715"/>
    <x v="0"/>
  </r>
  <r>
    <x v="3"/>
    <x v="0"/>
    <n v="11"/>
    <x v="2"/>
    <n v="18"/>
    <x v="0"/>
    <x v="0"/>
    <x v="0"/>
    <x v="0"/>
    <x v="0"/>
    <x v="6"/>
    <n v="3"/>
    <n v="700"/>
    <x v="0"/>
    <n v="3300"/>
    <n v="2100"/>
    <n v="1200"/>
    <n v="0.36363636363636365"/>
    <x v="0"/>
  </r>
  <r>
    <x v="3"/>
    <x v="0"/>
    <n v="11"/>
    <x v="2"/>
    <n v="18"/>
    <x v="1"/>
    <x v="0"/>
    <x v="1"/>
    <x v="0"/>
    <x v="0"/>
    <x v="7"/>
    <n v="1"/>
    <n v="700"/>
    <x v="0"/>
    <n v="1100"/>
    <n v="700"/>
    <n v="400"/>
    <n v="0.36363636363636365"/>
    <x v="0"/>
  </r>
  <r>
    <x v="13"/>
    <x v="0"/>
    <n v="11"/>
    <x v="6"/>
    <n v="18"/>
    <x v="1"/>
    <x v="0"/>
    <x v="1"/>
    <x v="0"/>
    <x v="0"/>
    <x v="7"/>
    <n v="1"/>
    <n v="700"/>
    <x v="0"/>
    <n v="1100"/>
    <n v="700"/>
    <n v="400"/>
    <n v="0.36363636363636365"/>
    <x v="0"/>
  </r>
  <r>
    <x v="14"/>
    <x v="0"/>
    <n v="11"/>
    <x v="0"/>
    <n v="18"/>
    <x v="1"/>
    <x v="0"/>
    <x v="2"/>
    <x v="0"/>
    <x v="1"/>
    <x v="5"/>
    <n v="1"/>
    <n v="900"/>
    <x v="3"/>
    <n v="1400"/>
    <n v="900"/>
    <n v="500"/>
    <n v="0.35714285714285715"/>
    <x v="0"/>
  </r>
  <r>
    <x v="8"/>
    <x v="0"/>
    <n v="11"/>
    <x v="1"/>
    <n v="18"/>
    <x v="0"/>
    <x v="3"/>
    <x v="6"/>
    <x v="0"/>
    <x v="1"/>
    <x v="8"/>
    <n v="2"/>
    <n v="580"/>
    <x v="4"/>
    <n v="1840"/>
    <n v="1160"/>
    <n v="680"/>
    <n v="0.36956521739130432"/>
    <x v="0"/>
  </r>
  <r>
    <x v="15"/>
    <x v="1"/>
    <n v="12"/>
    <x v="6"/>
    <n v="18"/>
    <x v="1"/>
    <x v="2"/>
    <x v="7"/>
    <x v="0"/>
    <x v="0"/>
    <x v="9"/>
    <n v="1"/>
    <n v="620"/>
    <x v="1"/>
    <n v="980"/>
    <n v="620"/>
    <n v="360"/>
    <n v="0.36734693877551022"/>
    <x v="0"/>
  </r>
  <r>
    <x v="16"/>
    <x v="1"/>
    <n v="12"/>
    <x v="4"/>
    <n v="18"/>
    <x v="0"/>
    <x v="3"/>
    <x v="8"/>
    <x v="0"/>
    <x v="0"/>
    <x v="10"/>
    <n v="3"/>
    <n v="580"/>
    <x v="4"/>
    <n v="2760"/>
    <n v="1740"/>
    <n v="1020"/>
    <n v="0.36956521739130432"/>
    <x v="0"/>
  </r>
  <r>
    <x v="17"/>
    <x v="1"/>
    <n v="12"/>
    <x v="2"/>
    <n v="18"/>
    <x v="1"/>
    <x v="2"/>
    <x v="9"/>
    <x v="0"/>
    <x v="1"/>
    <x v="1"/>
    <n v="1"/>
    <n v="620"/>
    <x v="1"/>
    <n v="980"/>
    <n v="620"/>
    <n v="360"/>
    <n v="0.36734693877551022"/>
    <x v="0"/>
  </r>
  <r>
    <x v="18"/>
    <x v="1"/>
    <n v="12"/>
    <x v="3"/>
    <n v="18"/>
    <x v="0"/>
    <x v="2"/>
    <x v="7"/>
    <x v="0"/>
    <x v="3"/>
    <x v="11"/>
    <n v="4"/>
    <n v="500"/>
    <x v="5"/>
    <n v="3200"/>
    <n v="2000"/>
    <n v="1200"/>
    <n v="0.375"/>
    <x v="0"/>
  </r>
  <r>
    <x v="9"/>
    <x v="1"/>
    <n v="12"/>
    <x v="4"/>
    <n v="18"/>
    <x v="0"/>
    <x v="0"/>
    <x v="10"/>
    <x v="1"/>
    <x v="0"/>
    <x v="12"/>
    <n v="2"/>
    <n v="480"/>
    <x v="6"/>
    <n v="1520"/>
    <n v="960"/>
    <n v="560"/>
    <n v="0.36842105263157893"/>
    <x v="0"/>
  </r>
  <r>
    <x v="19"/>
    <x v="1"/>
    <n v="12"/>
    <x v="5"/>
    <n v="18"/>
    <x v="0"/>
    <x v="2"/>
    <x v="7"/>
    <x v="0"/>
    <x v="3"/>
    <x v="11"/>
    <n v="1"/>
    <n v="500"/>
    <x v="5"/>
    <n v="800"/>
    <n v="500"/>
    <n v="300"/>
    <n v="0.375"/>
    <x v="0"/>
  </r>
  <r>
    <x v="20"/>
    <x v="2"/>
    <n v="10"/>
    <x v="4"/>
    <n v="19"/>
    <x v="0"/>
    <x v="4"/>
    <x v="11"/>
    <x v="0"/>
    <x v="1"/>
    <x v="4"/>
    <n v="3"/>
    <n v="900"/>
    <x v="3"/>
    <n v="4200"/>
    <n v="2700"/>
    <n v="1500"/>
    <n v="0.35714285714285715"/>
    <x v="0"/>
  </r>
  <r>
    <x v="1"/>
    <x v="0"/>
    <n v="11"/>
    <x v="1"/>
    <n v="19"/>
    <x v="0"/>
    <x v="2"/>
    <x v="7"/>
    <x v="1"/>
    <x v="2"/>
    <x v="13"/>
    <n v="4"/>
    <n v="450"/>
    <x v="7"/>
    <n v="2880"/>
    <n v="1800"/>
    <n v="1080"/>
    <n v="0.375"/>
    <x v="0"/>
  </r>
  <r>
    <x v="21"/>
    <x v="0"/>
    <n v="11"/>
    <x v="6"/>
    <n v="19"/>
    <x v="1"/>
    <x v="0"/>
    <x v="2"/>
    <x v="0"/>
    <x v="0"/>
    <x v="6"/>
    <n v="1"/>
    <n v="700"/>
    <x v="0"/>
    <n v="1100"/>
    <n v="700"/>
    <n v="400"/>
    <n v="0.36363636363636365"/>
    <x v="0"/>
  </r>
  <r>
    <x v="22"/>
    <x v="0"/>
    <n v="11"/>
    <x v="4"/>
    <n v="19"/>
    <x v="1"/>
    <x v="3"/>
    <x v="12"/>
    <x v="0"/>
    <x v="0"/>
    <x v="14"/>
    <n v="3"/>
    <n v="580"/>
    <x v="4"/>
    <n v="2760"/>
    <n v="1740"/>
    <n v="1020"/>
    <n v="0.36956521739130432"/>
    <x v="0"/>
  </r>
  <r>
    <x v="23"/>
    <x v="0"/>
    <n v="11"/>
    <x v="0"/>
    <n v="19"/>
    <x v="1"/>
    <x v="2"/>
    <x v="7"/>
    <x v="1"/>
    <x v="0"/>
    <x v="15"/>
    <n v="1"/>
    <n v="550"/>
    <x v="2"/>
    <n v="850"/>
    <n v="550"/>
    <n v="300"/>
    <n v="0.35294117647058826"/>
    <x v="0"/>
  </r>
  <r>
    <x v="24"/>
    <x v="0"/>
    <n v="11"/>
    <x v="2"/>
    <n v="19"/>
    <x v="1"/>
    <x v="0"/>
    <x v="1"/>
    <x v="0"/>
    <x v="1"/>
    <x v="16"/>
    <n v="2"/>
    <n v="900"/>
    <x v="3"/>
    <n v="2800"/>
    <n v="1800"/>
    <n v="1000"/>
    <n v="0.35714285714285715"/>
    <x v="0"/>
  </r>
  <r>
    <x v="25"/>
    <x v="1"/>
    <n v="12"/>
    <x v="1"/>
    <n v="19"/>
    <x v="0"/>
    <x v="2"/>
    <x v="7"/>
    <x v="0"/>
    <x v="3"/>
    <x v="17"/>
    <n v="1"/>
    <n v="500"/>
    <x v="5"/>
    <n v="800"/>
    <n v="500"/>
    <n v="300"/>
    <n v="0.375"/>
    <x v="0"/>
  </r>
  <r>
    <x v="26"/>
    <x v="1"/>
    <n v="12"/>
    <x v="5"/>
    <n v="19"/>
    <x v="1"/>
    <x v="0"/>
    <x v="1"/>
    <x v="1"/>
    <x v="2"/>
    <x v="18"/>
    <n v="4"/>
    <n v="480"/>
    <x v="6"/>
    <n v="3040"/>
    <n v="1920"/>
    <n v="1120"/>
    <n v="0.36842105263157893"/>
    <x v="0"/>
  </r>
  <r>
    <x v="9"/>
    <x v="1"/>
    <n v="12"/>
    <x v="4"/>
    <n v="19"/>
    <x v="1"/>
    <x v="0"/>
    <x v="0"/>
    <x v="1"/>
    <x v="0"/>
    <x v="19"/>
    <n v="4"/>
    <n v="480"/>
    <x v="6"/>
    <n v="3040"/>
    <n v="1920"/>
    <n v="1120"/>
    <n v="0.36842105263157893"/>
    <x v="0"/>
  </r>
  <r>
    <x v="19"/>
    <x v="1"/>
    <n v="12"/>
    <x v="5"/>
    <n v="19"/>
    <x v="1"/>
    <x v="0"/>
    <x v="1"/>
    <x v="1"/>
    <x v="2"/>
    <x v="18"/>
    <n v="1"/>
    <n v="480"/>
    <x v="6"/>
    <n v="760"/>
    <n v="480"/>
    <n v="280"/>
    <n v="0.36842105263157893"/>
    <x v="0"/>
  </r>
  <r>
    <x v="27"/>
    <x v="1"/>
    <n v="12"/>
    <x v="2"/>
    <n v="19"/>
    <x v="0"/>
    <x v="2"/>
    <x v="7"/>
    <x v="0"/>
    <x v="3"/>
    <x v="17"/>
    <n v="1"/>
    <n v="500"/>
    <x v="5"/>
    <n v="800"/>
    <n v="500"/>
    <n v="300"/>
    <n v="0.375"/>
    <x v="0"/>
  </r>
  <r>
    <x v="28"/>
    <x v="1"/>
    <n v="12"/>
    <x v="3"/>
    <n v="19"/>
    <x v="1"/>
    <x v="0"/>
    <x v="10"/>
    <x v="1"/>
    <x v="2"/>
    <x v="20"/>
    <n v="2"/>
    <n v="550"/>
    <x v="2"/>
    <n v="1700"/>
    <n v="1100"/>
    <n v="600"/>
    <n v="0.35294117647058826"/>
    <x v="0"/>
  </r>
  <r>
    <x v="29"/>
    <x v="1"/>
    <n v="12"/>
    <x v="1"/>
    <n v="19"/>
    <x v="0"/>
    <x v="0"/>
    <x v="0"/>
    <x v="1"/>
    <x v="2"/>
    <x v="21"/>
    <n v="3"/>
    <n v="480"/>
    <x v="6"/>
    <n v="2280"/>
    <n v="1440"/>
    <n v="840"/>
    <n v="0.36842105263157893"/>
    <x v="0"/>
  </r>
  <r>
    <x v="0"/>
    <x v="0"/>
    <n v="11"/>
    <x v="0"/>
    <n v="20"/>
    <x v="0"/>
    <x v="0"/>
    <x v="0"/>
    <x v="0"/>
    <x v="0"/>
    <x v="22"/>
    <n v="1"/>
    <n v="700"/>
    <x v="0"/>
    <n v="1100"/>
    <n v="700"/>
    <n v="400"/>
    <n v="0.36363636363636365"/>
    <x v="0"/>
  </r>
  <r>
    <x v="30"/>
    <x v="0"/>
    <n v="11"/>
    <x v="5"/>
    <n v="20"/>
    <x v="0"/>
    <x v="0"/>
    <x v="0"/>
    <x v="0"/>
    <x v="0"/>
    <x v="22"/>
    <n v="1"/>
    <n v="700"/>
    <x v="0"/>
    <n v="1100"/>
    <n v="700"/>
    <n v="400"/>
    <n v="0.36363636363636365"/>
    <x v="0"/>
  </r>
  <r>
    <x v="31"/>
    <x v="0"/>
    <n v="11"/>
    <x v="1"/>
    <n v="20"/>
    <x v="1"/>
    <x v="3"/>
    <x v="13"/>
    <x v="0"/>
    <x v="3"/>
    <x v="23"/>
    <n v="2"/>
    <n v="530"/>
    <x v="8"/>
    <n v="1680"/>
    <n v="1060"/>
    <n v="620"/>
    <n v="0.36904761904761907"/>
    <x v="0"/>
  </r>
  <r>
    <x v="31"/>
    <x v="0"/>
    <n v="11"/>
    <x v="1"/>
    <n v="20"/>
    <x v="0"/>
    <x v="0"/>
    <x v="2"/>
    <x v="0"/>
    <x v="0"/>
    <x v="22"/>
    <n v="1"/>
    <n v="700"/>
    <x v="0"/>
    <n v="1100"/>
    <n v="700"/>
    <n v="400"/>
    <n v="0.36363636363636365"/>
    <x v="0"/>
  </r>
  <r>
    <x v="32"/>
    <x v="0"/>
    <n v="11"/>
    <x v="4"/>
    <n v="20"/>
    <x v="0"/>
    <x v="0"/>
    <x v="1"/>
    <x v="0"/>
    <x v="0"/>
    <x v="6"/>
    <n v="3"/>
    <n v="700"/>
    <x v="0"/>
    <n v="3300"/>
    <n v="2100"/>
    <n v="1200"/>
    <n v="0.36363636363636365"/>
    <x v="0"/>
  </r>
  <r>
    <x v="33"/>
    <x v="1"/>
    <n v="12"/>
    <x v="5"/>
    <n v="20"/>
    <x v="0"/>
    <x v="3"/>
    <x v="14"/>
    <x v="0"/>
    <x v="1"/>
    <x v="8"/>
    <n v="1"/>
    <n v="580"/>
    <x v="4"/>
    <n v="920"/>
    <n v="580"/>
    <n v="340"/>
    <n v="0.36956521739130432"/>
    <x v="0"/>
  </r>
  <r>
    <x v="34"/>
    <x v="2"/>
    <n v="10"/>
    <x v="0"/>
    <n v="21"/>
    <x v="1"/>
    <x v="2"/>
    <x v="7"/>
    <x v="0"/>
    <x v="3"/>
    <x v="11"/>
    <n v="4"/>
    <n v="500"/>
    <x v="5"/>
    <n v="3200"/>
    <n v="2000"/>
    <n v="1200"/>
    <n v="0.375"/>
    <x v="0"/>
  </r>
  <r>
    <x v="35"/>
    <x v="2"/>
    <n v="10"/>
    <x v="3"/>
    <n v="21"/>
    <x v="0"/>
    <x v="2"/>
    <x v="7"/>
    <x v="0"/>
    <x v="0"/>
    <x v="24"/>
    <n v="1"/>
    <n v="580"/>
    <x v="4"/>
    <n v="920"/>
    <n v="580"/>
    <n v="340"/>
    <n v="0.36956521739130432"/>
    <x v="0"/>
  </r>
  <r>
    <x v="36"/>
    <x v="2"/>
    <n v="10"/>
    <x v="2"/>
    <n v="21"/>
    <x v="1"/>
    <x v="2"/>
    <x v="7"/>
    <x v="0"/>
    <x v="3"/>
    <x v="11"/>
    <n v="1"/>
    <n v="500"/>
    <x v="5"/>
    <n v="800"/>
    <n v="500"/>
    <n v="300"/>
    <n v="0.375"/>
    <x v="0"/>
  </r>
  <r>
    <x v="37"/>
    <x v="2"/>
    <n v="10"/>
    <x v="4"/>
    <n v="21"/>
    <x v="1"/>
    <x v="2"/>
    <x v="7"/>
    <x v="0"/>
    <x v="3"/>
    <x v="11"/>
    <n v="2"/>
    <n v="500"/>
    <x v="5"/>
    <n v="1600"/>
    <n v="1000"/>
    <n v="600"/>
    <n v="0.375"/>
    <x v="0"/>
  </r>
  <r>
    <x v="30"/>
    <x v="0"/>
    <n v="11"/>
    <x v="5"/>
    <n v="21"/>
    <x v="0"/>
    <x v="0"/>
    <x v="1"/>
    <x v="0"/>
    <x v="0"/>
    <x v="14"/>
    <n v="1"/>
    <n v="580"/>
    <x v="4"/>
    <n v="920"/>
    <n v="580"/>
    <n v="340"/>
    <n v="0.36956521739130432"/>
    <x v="0"/>
  </r>
  <r>
    <x v="38"/>
    <x v="0"/>
    <n v="11"/>
    <x v="5"/>
    <n v="21"/>
    <x v="1"/>
    <x v="0"/>
    <x v="1"/>
    <x v="0"/>
    <x v="0"/>
    <x v="14"/>
    <n v="1"/>
    <n v="580"/>
    <x v="4"/>
    <n v="920"/>
    <n v="580"/>
    <n v="340"/>
    <n v="0.36956521739130432"/>
    <x v="0"/>
  </r>
  <r>
    <x v="7"/>
    <x v="0"/>
    <n v="11"/>
    <x v="0"/>
    <n v="21"/>
    <x v="0"/>
    <x v="0"/>
    <x v="10"/>
    <x v="0"/>
    <x v="0"/>
    <x v="10"/>
    <n v="4"/>
    <n v="580"/>
    <x v="4"/>
    <n v="3680"/>
    <n v="2320"/>
    <n v="1360"/>
    <n v="0.36956521739130432"/>
    <x v="0"/>
  </r>
  <r>
    <x v="3"/>
    <x v="0"/>
    <n v="11"/>
    <x v="2"/>
    <n v="22"/>
    <x v="0"/>
    <x v="0"/>
    <x v="1"/>
    <x v="0"/>
    <x v="1"/>
    <x v="16"/>
    <n v="3"/>
    <n v="900"/>
    <x v="3"/>
    <n v="4200"/>
    <n v="2700"/>
    <n v="1500"/>
    <n v="0.35714285714285715"/>
    <x v="0"/>
  </r>
  <r>
    <x v="3"/>
    <x v="0"/>
    <n v="11"/>
    <x v="2"/>
    <n v="22"/>
    <x v="1"/>
    <x v="2"/>
    <x v="7"/>
    <x v="1"/>
    <x v="2"/>
    <x v="3"/>
    <n v="2"/>
    <n v="550"/>
    <x v="2"/>
    <n v="1700"/>
    <n v="1100"/>
    <n v="600"/>
    <n v="0.35294117647058826"/>
    <x v="0"/>
  </r>
  <r>
    <x v="3"/>
    <x v="0"/>
    <n v="11"/>
    <x v="2"/>
    <n v="22"/>
    <x v="1"/>
    <x v="3"/>
    <x v="13"/>
    <x v="1"/>
    <x v="0"/>
    <x v="25"/>
    <n v="1"/>
    <n v="550"/>
    <x v="2"/>
    <n v="850"/>
    <n v="550"/>
    <n v="300"/>
    <n v="0.35294117647058826"/>
    <x v="0"/>
  </r>
  <r>
    <x v="39"/>
    <x v="0"/>
    <n v="11"/>
    <x v="3"/>
    <n v="22"/>
    <x v="0"/>
    <x v="1"/>
    <x v="4"/>
    <x v="0"/>
    <x v="3"/>
    <x v="23"/>
    <n v="2"/>
    <n v="530"/>
    <x v="8"/>
    <n v="1680"/>
    <n v="1060"/>
    <n v="620"/>
    <n v="0.36904761904761907"/>
    <x v="0"/>
  </r>
  <r>
    <x v="22"/>
    <x v="0"/>
    <n v="11"/>
    <x v="4"/>
    <n v="22"/>
    <x v="1"/>
    <x v="3"/>
    <x v="12"/>
    <x v="1"/>
    <x v="0"/>
    <x v="25"/>
    <n v="2"/>
    <n v="550"/>
    <x v="2"/>
    <n v="1700"/>
    <n v="1100"/>
    <n v="600"/>
    <n v="0.35294117647058826"/>
    <x v="0"/>
  </r>
  <r>
    <x v="4"/>
    <x v="0"/>
    <n v="11"/>
    <x v="2"/>
    <n v="22"/>
    <x v="0"/>
    <x v="0"/>
    <x v="0"/>
    <x v="0"/>
    <x v="0"/>
    <x v="26"/>
    <n v="1"/>
    <n v="620"/>
    <x v="1"/>
    <n v="980"/>
    <n v="620"/>
    <n v="360"/>
    <n v="0.36734693877551022"/>
    <x v="0"/>
  </r>
  <r>
    <x v="40"/>
    <x v="0"/>
    <n v="11"/>
    <x v="5"/>
    <n v="22"/>
    <x v="0"/>
    <x v="0"/>
    <x v="0"/>
    <x v="0"/>
    <x v="0"/>
    <x v="26"/>
    <n v="3"/>
    <n v="620"/>
    <x v="1"/>
    <n v="2940"/>
    <n v="1860"/>
    <n v="1080"/>
    <n v="0.36734693877551022"/>
    <x v="0"/>
  </r>
  <r>
    <x v="24"/>
    <x v="0"/>
    <n v="11"/>
    <x v="2"/>
    <n v="22"/>
    <x v="0"/>
    <x v="2"/>
    <x v="7"/>
    <x v="0"/>
    <x v="1"/>
    <x v="27"/>
    <n v="1"/>
    <n v="580"/>
    <x v="4"/>
    <n v="920"/>
    <n v="580"/>
    <n v="340"/>
    <n v="0.36956521739130432"/>
    <x v="0"/>
  </r>
  <r>
    <x v="41"/>
    <x v="1"/>
    <n v="12"/>
    <x v="6"/>
    <n v="22"/>
    <x v="1"/>
    <x v="2"/>
    <x v="9"/>
    <x v="0"/>
    <x v="0"/>
    <x v="28"/>
    <n v="1"/>
    <n v="580"/>
    <x v="4"/>
    <n v="920"/>
    <n v="580"/>
    <n v="340"/>
    <n v="0.36956521739130432"/>
    <x v="0"/>
  </r>
  <r>
    <x v="27"/>
    <x v="1"/>
    <n v="12"/>
    <x v="2"/>
    <n v="22"/>
    <x v="0"/>
    <x v="2"/>
    <x v="7"/>
    <x v="0"/>
    <x v="1"/>
    <x v="27"/>
    <n v="2"/>
    <n v="580"/>
    <x v="4"/>
    <n v="1840"/>
    <n v="1160"/>
    <n v="680"/>
    <n v="0.36956521739130432"/>
    <x v="0"/>
  </r>
  <r>
    <x v="42"/>
    <x v="1"/>
    <n v="12"/>
    <x v="5"/>
    <n v="22"/>
    <x v="1"/>
    <x v="2"/>
    <x v="7"/>
    <x v="0"/>
    <x v="0"/>
    <x v="22"/>
    <n v="1"/>
    <n v="700"/>
    <x v="0"/>
    <n v="1100"/>
    <n v="700"/>
    <n v="400"/>
    <n v="0.36363636363636365"/>
    <x v="0"/>
  </r>
  <r>
    <x v="43"/>
    <x v="2"/>
    <n v="10"/>
    <x v="2"/>
    <n v="23"/>
    <x v="0"/>
    <x v="0"/>
    <x v="1"/>
    <x v="0"/>
    <x v="0"/>
    <x v="14"/>
    <n v="1"/>
    <n v="580"/>
    <x v="4"/>
    <n v="920"/>
    <n v="580"/>
    <n v="340"/>
    <n v="0.36956521739130432"/>
    <x v="0"/>
  </r>
  <r>
    <x v="44"/>
    <x v="2"/>
    <n v="10"/>
    <x v="0"/>
    <n v="23"/>
    <x v="0"/>
    <x v="1"/>
    <x v="15"/>
    <x v="1"/>
    <x v="0"/>
    <x v="25"/>
    <n v="3"/>
    <n v="550"/>
    <x v="2"/>
    <n v="2550"/>
    <n v="1650"/>
    <n v="900"/>
    <n v="0.35294117647058826"/>
    <x v="0"/>
  </r>
  <r>
    <x v="45"/>
    <x v="2"/>
    <n v="10"/>
    <x v="1"/>
    <n v="23"/>
    <x v="1"/>
    <x v="0"/>
    <x v="1"/>
    <x v="0"/>
    <x v="3"/>
    <x v="29"/>
    <n v="1"/>
    <n v="530"/>
    <x v="8"/>
    <n v="840"/>
    <n v="530"/>
    <n v="310"/>
    <n v="0.36904761904761907"/>
    <x v="0"/>
  </r>
  <r>
    <x v="46"/>
    <x v="2"/>
    <n v="10"/>
    <x v="6"/>
    <n v="23"/>
    <x v="0"/>
    <x v="2"/>
    <x v="7"/>
    <x v="0"/>
    <x v="3"/>
    <x v="17"/>
    <n v="3"/>
    <n v="500"/>
    <x v="5"/>
    <n v="2400"/>
    <n v="1500"/>
    <n v="900"/>
    <n v="0.375"/>
    <x v="0"/>
  </r>
  <r>
    <x v="22"/>
    <x v="0"/>
    <n v="11"/>
    <x v="4"/>
    <n v="23"/>
    <x v="1"/>
    <x v="2"/>
    <x v="5"/>
    <x v="0"/>
    <x v="1"/>
    <x v="16"/>
    <n v="3"/>
    <n v="900"/>
    <x v="3"/>
    <n v="4200"/>
    <n v="2700"/>
    <n v="1500"/>
    <n v="0.35714285714285715"/>
    <x v="0"/>
  </r>
  <r>
    <x v="31"/>
    <x v="0"/>
    <n v="11"/>
    <x v="1"/>
    <n v="23"/>
    <x v="0"/>
    <x v="2"/>
    <x v="9"/>
    <x v="0"/>
    <x v="3"/>
    <x v="29"/>
    <n v="1"/>
    <n v="530"/>
    <x v="8"/>
    <n v="840"/>
    <n v="530"/>
    <n v="310"/>
    <n v="0.36904761904761907"/>
    <x v="0"/>
  </r>
  <r>
    <x v="4"/>
    <x v="0"/>
    <n v="11"/>
    <x v="2"/>
    <n v="23"/>
    <x v="1"/>
    <x v="2"/>
    <x v="7"/>
    <x v="0"/>
    <x v="3"/>
    <x v="17"/>
    <n v="1"/>
    <n v="500"/>
    <x v="5"/>
    <n v="800"/>
    <n v="500"/>
    <n v="300"/>
    <n v="0.375"/>
    <x v="0"/>
  </r>
  <r>
    <x v="40"/>
    <x v="0"/>
    <n v="11"/>
    <x v="5"/>
    <n v="23"/>
    <x v="0"/>
    <x v="2"/>
    <x v="7"/>
    <x v="1"/>
    <x v="2"/>
    <x v="20"/>
    <n v="1"/>
    <n v="550"/>
    <x v="2"/>
    <n v="850"/>
    <n v="550"/>
    <n v="300"/>
    <n v="0.35294117647058826"/>
    <x v="0"/>
  </r>
  <r>
    <x v="40"/>
    <x v="0"/>
    <n v="11"/>
    <x v="5"/>
    <n v="23"/>
    <x v="0"/>
    <x v="0"/>
    <x v="1"/>
    <x v="0"/>
    <x v="0"/>
    <x v="14"/>
    <n v="1"/>
    <n v="580"/>
    <x v="4"/>
    <n v="920"/>
    <n v="580"/>
    <n v="340"/>
    <n v="0.36956521739130432"/>
    <x v="0"/>
  </r>
  <r>
    <x v="33"/>
    <x v="1"/>
    <n v="12"/>
    <x v="5"/>
    <n v="23"/>
    <x v="0"/>
    <x v="5"/>
    <x v="16"/>
    <x v="0"/>
    <x v="1"/>
    <x v="30"/>
    <n v="1"/>
    <n v="900"/>
    <x v="3"/>
    <n v="1400"/>
    <n v="900"/>
    <n v="500"/>
    <n v="0.35714285714285715"/>
    <x v="0"/>
  </r>
  <r>
    <x v="33"/>
    <x v="1"/>
    <n v="12"/>
    <x v="5"/>
    <n v="23"/>
    <x v="1"/>
    <x v="2"/>
    <x v="7"/>
    <x v="0"/>
    <x v="3"/>
    <x v="17"/>
    <n v="1"/>
    <n v="500"/>
    <x v="5"/>
    <n v="800"/>
    <n v="500"/>
    <n v="300"/>
    <n v="0.375"/>
    <x v="0"/>
  </r>
  <r>
    <x v="47"/>
    <x v="1"/>
    <n v="12"/>
    <x v="0"/>
    <n v="23"/>
    <x v="0"/>
    <x v="5"/>
    <x v="16"/>
    <x v="1"/>
    <x v="2"/>
    <x v="31"/>
    <n v="3"/>
    <n v="450"/>
    <x v="7"/>
    <n v="2160"/>
    <n v="1350"/>
    <n v="810"/>
    <n v="0.375"/>
    <x v="0"/>
  </r>
  <r>
    <x v="47"/>
    <x v="1"/>
    <n v="12"/>
    <x v="0"/>
    <n v="23"/>
    <x v="0"/>
    <x v="1"/>
    <x v="17"/>
    <x v="0"/>
    <x v="1"/>
    <x v="4"/>
    <n v="2"/>
    <n v="900"/>
    <x v="3"/>
    <n v="2800"/>
    <n v="1800"/>
    <n v="1000"/>
    <n v="0.35714285714285715"/>
    <x v="0"/>
  </r>
  <r>
    <x v="48"/>
    <x v="1"/>
    <n v="12"/>
    <x v="3"/>
    <n v="23"/>
    <x v="1"/>
    <x v="2"/>
    <x v="5"/>
    <x v="0"/>
    <x v="1"/>
    <x v="16"/>
    <n v="1"/>
    <n v="900"/>
    <x v="3"/>
    <n v="1400"/>
    <n v="900"/>
    <n v="500"/>
    <n v="0.35714285714285715"/>
    <x v="0"/>
  </r>
  <r>
    <x v="16"/>
    <x v="1"/>
    <n v="12"/>
    <x v="4"/>
    <n v="23"/>
    <x v="0"/>
    <x v="2"/>
    <x v="5"/>
    <x v="0"/>
    <x v="0"/>
    <x v="6"/>
    <n v="2"/>
    <n v="700"/>
    <x v="0"/>
    <n v="2200"/>
    <n v="1400"/>
    <n v="800"/>
    <n v="0.36363636363636365"/>
    <x v="0"/>
  </r>
  <r>
    <x v="49"/>
    <x v="1"/>
    <n v="12"/>
    <x v="5"/>
    <n v="23"/>
    <x v="0"/>
    <x v="5"/>
    <x v="16"/>
    <x v="0"/>
    <x v="1"/>
    <x v="30"/>
    <n v="4"/>
    <n v="900"/>
    <x v="3"/>
    <n v="5600"/>
    <n v="3600"/>
    <n v="2000"/>
    <n v="0.35714285714285715"/>
    <x v="0"/>
  </r>
  <r>
    <x v="50"/>
    <x v="1"/>
    <n v="12"/>
    <x v="1"/>
    <n v="23"/>
    <x v="0"/>
    <x v="5"/>
    <x v="16"/>
    <x v="1"/>
    <x v="2"/>
    <x v="31"/>
    <n v="2"/>
    <n v="450"/>
    <x v="7"/>
    <n v="1440"/>
    <n v="900"/>
    <n v="540"/>
    <n v="0.375"/>
    <x v="0"/>
  </r>
  <r>
    <x v="27"/>
    <x v="1"/>
    <n v="12"/>
    <x v="2"/>
    <n v="23"/>
    <x v="0"/>
    <x v="2"/>
    <x v="9"/>
    <x v="0"/>
    <x v="3"/>
    <x v="29"/>
    <n v="3"/>
    <n v="530"/>
    <x v="8"/>
    <n v="2520"/>
    <n v="1590"/>
    <n v="930"/>
    <n v="0.36904761904761907"/>
    <x v="0"/>
  </r>
  <r>
    <x v="42"/>
    <x v="1"/>
    <n v="12"/>
    <x v="5"/>
    <n v="23"/>
    <x v="1"/>
    <x v="3"/>
    <x v="8"/>
    <x v="0"/>
    <x v="1"/>
    <x v="32"/>
    <n v="3"/>
    <n v="580"/>
    <x v="4"/>
    <n v="2760"/>
    <n v="1740"/>
    <n v="1020"/>
    <n v="0.36956521739130432"/>
    <x v="0"/>
  </r>
  <r>
    <x v="42"/>
    <x v="1"/>
    <n v="12"/>
    <x v="5"/>
    <n v="23"/>
    <x v="1"/>
    <x v="1"/>
    <x v="15"/>
    <x v="0"/>
    <x v="1"/>
    <x v="30"/>
    <n v="1"/>
    <n v="900"/>
    <x v="3"/>
    <n v="1400"/>
    <n v="900"/>
    <n v="500"/>
    <n v="0.35714285714285715"/>
    <x v="0"/>
  </r>
  <r>
    <x v="51"/>
    <x v="1"/>
    <n v="12"/>
    <x v="2"/>
    <n v="23"/>
    <x v="0"/>
    <x v="5"/>
    <x v="16"/>
    <x v="0"/>
    <x v="1"/>
    <x v="30"/>
    <n v="3"/>
    <n v="900"/>
    <x v="3"/>
    <n v="4200"/>
    <n v="2700"/>
    <n v="1500"/>
    <n v="0.35714285714285715"/>
    <x v="0"/>
  </r>
  <r>
    <x v="52"/>
    <x v="2"/>
    <n v="10"/>
    <x v="5"/>
    <n v="24"/>
    <x v="1"/>
    <x v="0"/>
    <x v="0"/>
    <x v="0"/>
    <x v="3"/>
    <x v="11"/>
    <n v="2"/>
    <n v="500"/>
    <x v="5"/>
    <n v="1600"/>
    <n v="1000"/>
    <n v="600"/>
    <n v="0.375"/>
    <x v="0"/>
  </r>
  <r>
    <x v="53"/>
    <x v="2"/>
    <n v="10"/>
    <x v="3"/>
    <n v="24"/>
    <x v="1"/>
    <x v="0"/>
    <x v="3"/>
    <x v="0"/>
    <x v="3"/>
    <x v="33"/>
    <n v="3"/>
    <n v="500"/>
    <x v="5"/>
    <n v="2400"/>
    <n v="1500"/>
    <n v="900"/>
    <n v="0.375"/>
    <x v="0"/>
  </r>
  <r>
    <x v="44"/>
    <x v="2"/>
    <n v="10"/>
    <x v="0"/>
    <n v="24"/>
    <x v="1"/>
    <x v="0"/>
    <x v="2"/>
    <x v="0"/>
    <x v="3"/>
    <x v="17"/>
    <n v="1"/>
    <n v="500"/>
    <x v="5"/>
    <n v="800"/>
    <n v="500"/>
    <n v="300"/>
    <n v="0.375"/>
    <x v="0"/>
  </r>
  <r>
    <x v="11"/>
    <x v="0"/>
    <n v="11"/>
    <x v="5"/>
    <n v="24"/>
    <x v="1"/>
    <x v="0"/>
    <x v="1"/>
    <x v="0"/>
    <x v="0"/>
    <x v="10"/>
    <n v="2"/>
    <n v="580"/>
    <x v="4"/>
    <n v="1840"/>
    <n v="1160"/>
    <n v="680"/>
    <n v="0.36956521739130432"/>
    <x v="0"/>
  </r>
  <r>
    <x v="54"/>
    <x v="0"/>
    <n v="11"/>
    <x v="3"/>
    <n v="24"/>
    <x v="1"/>
    <x v="3"/>
    <x v="12"/>
    <x v="0"/>
    <x v="3"/>
    <x v="17"/>
    <n v="2"/>
    <n v="500"/>
    <x v="5"/>
    <n v="1600"/>
    <n v="1000"/>
    <n v="600"/>
    <n v="0.375"/>
    <x v="0"/>
  </r>
  <r>
    <x v="21"/>
    <x v="0"/>
    <n v="11"/>
    <x v="6"/>
    <n v="24"/>
    <x v="1"/>
    <x v="1"/>
    <x v="18"/>
    <x v="0"/>
    <x v="1"/>
    <x v="8"/>
    <n v="3"/>
    <n v="580"/>
    <x v="4"/>
    <n v="2760"/>
    <n v="1740"/>
    <n v="1020"/>
    <n v="0.36956521739130432"/>
    <x v="0"/>
  </r>
  <r>
    <x v="21"/>
    <x v="0"/>
    <n v="11"/>
    <x v="6"/>
    <n v="24"/>
    <x v="1"/>
    <x v="0"/>
    <x v="0"/>
    <x v="0"/>
    <x v="3"/>
    <x v="11"/>
    <n v="1"/>
    <n v="500"/>
    <x v="5"/>
    <n v="800"/>
    <n v="500"/>
    <n v="300"/>
    <n v="0.375"/>
    <x v="0"/>
  </r>
  <r>
    <x v="3"/>
    <x v="0"/>
    <n v="11"/>
    <x v="2"/>
    <n v="24"/>
    <x v="1"/>
    <x v="0"/>
    <x v="2"/>
    <x v="0"/>
    <x v="3"/>
    <x v="17"/>
    <n v="1"/>
    <n v="500"/>
    <x v="5"/>
    <n v="800"/>
    <n v="500"/>
    <n v="300"/>
    <n v="0.375"/>
    <x v="0"/>
  </r>
  <r>
    <x v="39"/>
    <x v="0"/>
    <n v="11"/>
    <x v="3"/>
    <n v="24"/>
    <x v="1"/>
    <x v="0"/>
    <x v="1"/>
    <x v="0"/>
    <x v="0"/>
    <x v="10"/>
    <n v="4"/>
    <n v="580"/>
    <x v="4"/>
    <n v="3680"/>
    <n v="2320"/>
    <n v="1360"/>
    <n v="0.36956521739130432"/>
    <x v="0"/>
  </r>
  <r>
    <x v="39"/>
    <x v="0"/>
    <n v="11"/>
    <x v="3"/>
    <n v="24"/>
    <x v="1"/>
    <x v="0"/>
    <x v="2"/>
    <x v="0"/>
    <x v="3"/>
    <x v="17"/>
    <n v="4"/>
    <n v="500"/>
    <x v="5"/>
    <n v="3200"/>
    <n v="2000"/>
    <n v="1200"/>
    <n v="0.375"/>
    <x v="0"/>
  </r>
  <r>
    <x v="55"/>
    <x v="0"/>
    <n v="11"/>
    <x v="6"/>
    <n v="24"/>
    <x v="0"/>
    <x v="3"/>
    <x v="8"/>
    <x v="0"/>
    <x v="3"/>
    <x v="17"/>
    <n v="1"/>
    <n v="500"/>
    <x v="5"/>
    <n v="800"/>
    <n v="500"/>
    <n v="300"/>
    <n v="0.375"/>
    <x v="0"/>
  </r>
  <r>
    <x v="5"/>
    <x v="0"/>
    <n v="11"/>
    <x v="1"/>
    <n v="24"/>
    <x v="1"/>
    <x v="2"/>
    <x v="5"/>
    <x v="1"/>
    <x v="0"/>
    <x v="15"/>
    <n v="1"/>
    <n v="550"/>
    <x v="2"/>
    <n v="850"/>
    <n v="550"/>
    <n v="300"/>
    <n v="0.35294117647058826"/>
    <x v="0"/>
  </r>
  <r>
    <x v="56"/>
    <x v="0"/>
    <n v="11"/>
    <x v="6"/>
    <n v="24"/>
    <x v="1"/>
    <x v="0"/>
    <x v="0"/>
    <x v="0"/>
    <x v="3"/>
    <x v="11"/>
    <n v="2"/>
    <n v="500"/>
    <x v="5"/>
    <n v="1600"/>
    <n v="1000"/>
    <n v="600"/>
    <n v="0.375"/>
    <x v="0"/>
  </r>
  <r>
    <x v="56"/>
    <x v="0"/>
    <n v="11"/>
    <x v="6"/>
    <n v="24"/>
    <x v="1"/>
    <x v="0"/>
    <x v="2"/>
    <x v="0"/>
    <x v="3"/>
    <x v="17"/>
    <n v="1"/>
    <n v="500"/>
    <x v="5"/>
    <n v="800"/>
    <n v="500"/>
    <n v="300"/>
    <n v="0.375"/>
    <x v="0"/>
  </r>
  <r>
    <x v="7"/>
    <x v="0"/>
    <n v="11"/>
    <x v="0"/>
    <n v="24"/>
    <x v="1"/>
    <x v="0"/>
    <x v="3"/>
    <x v="0"/>
    <x v="3"/>
    <x v="33"/>
    <n v="3"/>
    <n v="500"/>
    <x v="5"/>
    <n v="2400"/>
    <n v="1500"/>
    <n v="900"/>
    <n v="0.375"/>
    <x v="0"/>
  </r>
  <r>
    <x v="57"/>
    <x v="1"/>
    <n v="12"/>
    <x v="3"/>
    <n v="24"/>
    <x v="0"/>
    <x v="3"/>
    <x v="14"/>
    <x v="0"/>
    <x v="0"/>
    <x v="28"/>
    <n v="2"/>
    <n v="580"/>
    <x v="4"/>
    <n v="1840"/>
    <n v="1160"/>
    <n v="680"/>
    <n v="0.36956521739130432"/>
    <x v="0"/>
  </r>
  <r>
    <x v="57"/>
    <x v="1"/>
    <n v="12"/>
    <x v="3"/>
    <n v="24"/>
    <x v="1"/>
    <x v="5"/>
    <x v="16"/>
    <x v="1"/>
    <x v="0"/>
    <x v="25"/>
    <n v="1"/>
    <n v="550"/>
    <x v="2"/>
    <n v="850"/>
    <n v="550"/>
    <n v="300"/>
    <n v="0.35294117647058826"/>
    <x v="0"/>
  </r>
  <r>
    <x v="15"/>
    <x v="1"/>
    <n v="12"/>
    <x v="6"/>
    <n v="24"/>
    <x v="0"/>
    <x v="1"/>
    <x v="17"/>
    <x v="0"/>
    <x v="0"/>
    <x v="10"/>
    <n v="4"/>
    <n v="580"/>
    <x v="4"/>
    <n v="3680"/>
    <n v="2320"/>
    <n v="1360"/>
    <n v="0.36956521739130432"/>
    <x v="0"/>
  </r>
  <r>
    <x v="15"/>
    <x v="1"/>
    <n v="12"/>
    <x v="6"/>
    <n v="24"/>
    <x v="1"/>
    <x v="1"/>
    <x v="15"/>
    <x v="1"/>
    <x v="0"/>
    <x v="25"/>
    <n v="3"/>
    <n v="550"/>
    <x v="2"/>
    <n v="2550"/>
    <n v="1650"/>
    <n v="900"/>
    <n v="0.35294117647058826"/>
    <x v="0"/>
  </r>
  <r>
    <x v="58"/>
    <x v="1"/>
    <n v="12"/>
    <x v="6"/>
    <n v="24"/>
    <x v="1"/>
    <x v="1"/>
    <x v="17"/>
    <x v="1"/>
    <x v="2"/>
    <x v="20"/>
    <n v="3"/>
    <n v="550"/>
    <x v="2"/>
    <n v="2550"/>
    <n v="1650"/>
    <n v="900"/>
    <n v="0.35294117647058826"/>
    <x v="0"/>
  </r>
  <r>
    <x v="9"/>
    <x v="1"/>
    <n v="12"/>
    <x v="4"/>
    <n v="24"/>
    <x v="1"/>
    <x v="1"/>
    <x v="19"/>
    <x v="0"/>
    <x v="1"/>
    <x v="27"/>
    <n v="4"/>
    <n v="580"/>
    <x v="4"/>
    <n v="3680"/>
    <n v="2320"/>
    <n v="1360"/>
    <n v="0.36956521739130432"/>
    <x v="0"/>
  </r>
  <r>
    <x v="28"/>
    <x v="1"/>
    <n v="12"/>
    <x v="3"/>
    <n v="24"/>
    <x v="0"/>
    <x v="5"/>
    <x v="16"/>
    <x v="0"/>
    <x v="0"/>
    <x v="22"/>
    <n v="1"/>
    <n v="700"/>
    <x v="0"/>
    <n v="1100"/>
    <n v="700"/>
    <n v="400"/>
    <n v="0.36363636363636365"/>
    <x v="0"/>
  </r>
  <r>
    <x v="59"/>
    <x v="1"/>
    <n v="12"/>
    <x v="4"/>
    <n v="24"/>
    <x v="0"/>
    <x v="4"/>
    <x v="11"/>
    <x v="0"/>
    <x v="3"/>
    <x v="23"/>
    <n v="1"/>
    <n v="530"/>
    <x v="8"/>
    <n v="840"/>
    <n v="530"/>
    <n v="310"/>
    <n v="0.36904761904761907"/>
    <x v="0"/>
  </r>
  <r>
    <x v="42"/>
    <x v="1"/>
    <n v="12"/>
    <x v="5"/>
    <n v="24"/>
    <x v="1"/>
    <x v="1"/>
    <x v="20"/>
    <x v="0"/>
    <x v="1"/>
    <x v="34"/>
    <n v="4"/>
    <n v="580"/>
    <x v="4"/>
    <n v="3680"/>
    <n v="2320"/>
    <n v="1360"/>
    <n v="0.36956521739130432"/>
    <x v="0"/>
  </r>
  <r>
    <x v="51"/>
    <x v="1"/>
    <n v="12"/>
    <x v="2"/>
    <n v="24"/>
    <x v="1"/>
    <x v="1"/>
    <x v="21"/>
    <x v="1"/>
    <x v="0"/>
    <x v="15"/>
    <n v="1"/>
    <n v="550"/>
    <x v="2"/>
    <n v="850"/>
    <n v="550"/>
    <n v="300"/>
    <n v="0.35294117647058826"/>
    <x v="0"/>
  </r>
  <r>
    <x v="60"/>
    <x v="2"/>
    <n v="10"/>
    <x v="3"/>
    <n v="25"/>
    <x v="1"/>
    <x v="4"/>
    <x v="11"/>
    <x v="0"/>
    <x v="1"/>
    <x v="34"/>
    <n v="1"/>
    <n v="580"/>
    <x v="4"/>
    <n v="920"/>
    <n v="580"/>
    <n v="340"/>
    <n v="0.36956521739130432"/>
    <x v="1"/>
  </r>
  <r>
    <x v="54"/>
    <x v="0"/>
    <n v="11"/>
    <x v="3"/>
    <n v="25"/>
    <x v="1"/>
    <x v="0"/>
    <x v="1"/>
    <x v="0"/>
    <x v="0"/>
    <x v="10"/>
    <n v="3"/>
    <n v="580"/>
    <x v="4"/>
    <n v="2760"/>
    <n v="1740"/>
    <n v="1020"/>
    <n v="0.36956521739130432"/>
    <x v="1"/>
  </r>
  <r>
    <x v="54"/>
    <x v="0"/>
    <n v="11"/>
    <x v="3"/>
    <n v="25"/>
    <x v="0"/>
    <x v="2"/>
    <x v="7"/>
    <x v="0"/>
    <x v="0"/>
    <x v="6"/>
    <n v="1"/>
    <n v="700"/>
    <x v="0"/>
    <n v="1100"/>
    <n v="700"/>
    <n v="400"/>
    <n v="0.36363636363636365"/>
    <x v="1"/>
  </r>
  <r>
    <x v="54"/>
    <x v="0"/>
    <n v="11"/>
    <x v="3"/>
    <n v="25"/>
    <x v="0"/>
    <x v="0"/>
    <x v="2"/>
    <x v="0"/>
    <x v="3"/>
    <x v="11"/>
    <n v="1"/>
    <n v="500"/>
    <x v="5"/>
    <n v="800"/>
    <n v="500"/>
    <n v="300"/>
    <n v="0.375"/>
    <x v="1"/>
  </r>
  <r>
    <x v="12"/>
    <x v="0"/>
    <n v="11"/>
    <x v="4"/>
    <n v="25"/>
    <x v="1"/>
    <x v="2"/>
    <x v="9"/>
    <x v="0"/>
    <x v="3"/>
    <x v="11"/>
    <n v="3"/>
    <n v="500"/>
    <x v="5"/>
    <n v="2400"/>
    <n v="1500"/>
    <n v="900"/>
    <n v="0.375"/>
    <x v="1"/>
  </r>
  <r>
    <x v="2"/>
    <x v="0"/>
    <n v="11"/>
    <x v="0"/>
    <n v="25"/>
    <x v="0"/>
    <x v="0"/>
    <x v="1"/>
    <x v="0"/>
    <x v="3"/>
    <x v="35"/>
    <n v="4"/>
    <n v="500"/>
    <x v="5"/>
    <n v="3200"/>
    <n v="2000"/>
    <n v="1200"/>
    <n v="0.375"/>
    <x v="1"/>
  </r>
  <r>
    <x v="61"/>
    <x v="0"/>
    <n v="11"/>
    <x v="1"/>
    <n v="25"/>
    <x v="0"/>
    <x v="0"/>
    <x v="0"/>
    <x v="0"/>
    <x v="3"/>
    <x v="36"/>
    <n v="3"/>
    <n v="500"/>
    <x v="5"/>
    <n v="2400"/>
    <n v="1500"/>
    <n v="900"/>
    <n v="0.375"/>
    <x v="1"/>
  </r>
  <r>
    <x v="30"/>
    <x v="0"/>
    <n v="11"/>
    <x v="5"/>
    <n v="25"/>
    <x v="1"/>
    <x v="3"/>
    <x v="14"/>
    <x v="0"/>
    <x v="0"/>
    <x v="14"/>
    <n v="1"/>
    <n v="580"/>
    <x v="4"/>
    <n v="920"/>
    <n v="580"/>
    <n v="340"/>
    <n v="0.36956521739130432"/>
    <x v="1"/>
  </r>
  <r>
    <x v="31"/>
    <x v="0"/>
    <n v="11"/>
    <x v="1"/>
    <n v="25"/>
    <x v="0"/>
    <x v="0"/>
    <x v="2"/>
    <x v="0"/>
    <x v="3"/>
    <x v="11"/>
    <n v="3"/>
    <n v="500"/>
    <x v="5"/>
    <n v="2400"/>
    <n v="1500"/>
    <n v="900"/>
    <n v="0.375"/>
    <x v="1"/>
  </r>
  <r>
    <x v="31"/>
    <x v="0"/>
    <n v="11"/>
    <x v="1"/>
    <n v="25"/>
    <x v="0"/>
    <x v="1"/>
    <x v="15"/>
    <x v="0"/>
    <x v="3"/>
    <x v="35"/>
    <n v="1"/>
    <n v="500"/>
    <x v="5"/>
    <n v="800"/>
    <n v="500"/>
    <n v="300"/>
    <n v="0.375"/>
    <x v="1"/>
  </r>
  <r>
    <x v="4"/>
    <x v="0"/>
    <n v="11"/>
    <x v="2"/>
    <n v="25"/>
    <x v="0"/>
    <x v="0"/>
    <x v="0"/>
    <x v="0"/>
    <x v="3"/>
    <x v="36"/>
    <n v="1"/>
    <n v="500"/>
    <x v="5"/>
    <n v="800"/>
    <n v="500"/>
    <n v="300"/>
    <n v="0.375"/>
    <x v="1"/>
  </r>
  <r>
    <x v="62"/>
    <x v="0"/>
    <n v="11"/>
    <x v="4"/>
    <n v="25"/>
    <x v="0"/>
    <x v="3"/>
    <x v="8"/>
    <x v="0"/>
    <x v="3"/>
    <x v="37"/>
    <n v="2"/>
    <n v="530"/>
    <x v="8"/>
    <n v="1680"/>
    <n v="1060"/>
    <n v="620"/>
    <n v="0.36904761904761907"/>
    <x v="1"/>
  </r>
  <r>
    <x v="62"/>
    <x v="0"/>
    <n v="11"/>
    <x v="4"/>
    <n v="25"/>
    <x v="1"/>
    <x v="1"/>
    <x v="21"/>
    <x v="0"/>
    <x v="3"/>
    <x v="38"/>
    <n v="1"/>
    <n v="530"/>
    <x v="8"/>
    <n v="840"/>
    <n v="530"/>
    <n v="310"/>
    <n v="0.36904761904761907"/>
    <x v="1"/>
  </r>
  <r>
    <x v="56"/>
    <x v="0"/>
    <n v="11"/>
    <x v="6"/>
    <n v="25"/>
    <x v="0"/>
    <x v="0"/>
    <x v="1"/>
    <x v="0"/>
    <x v="3"/>
    <x v="35"/>
    <n v="1"/>
    <n v="500"/>
    <x v="5"/>
    <n v="800"/>
    <n v="500"/>
    <n v="300"/>
    <n v="0.375"/>
    <x v="1"/>
  </r>
  <r>
    <x v="25"/>
    <x v="1"/>
    <n v="12"/>
    <x v="1"/>
    <n v="25"/>
    <x v="0"/>
    <x v="5"/>
    <x v="16"/>
    <x v="0"/>
    <x v="1"/>
    <x v="8"/>
    <n v="3"/>
    <n v="580"/>
    <x v="4"/>
    <n v="2760"/>
    <n v="1740"/>
    <n v="1020"/>
    <n v="0.36956521739130432"/>
    <x v="1"/>
  </r>
  <r>
    <x v="25"/>
    <x v="1"/>
    <n v="12"/>
    <x v="1"/>
    <n v="25"/>
    <x v="1"/>
    <x v="5"/>
    <x v="16"/>
    <x v="0"/>
    <x v="0"/>
    <x v="39"/>
    <n v="1"/>
    <n v="620"/>
    <x v="1"/>
    <n v="980"/>
    <n v="620"/>
    <n v="360"/>
    <n v="0.36734693877551022"/>
    <x v="1"/>
  </r>
  <r>
    <x v="26"/>
    <x v="1"/>
    <n v="12"/>
    <x v="5"/>
    <n v="25"/>
    <x v="1"/>
    <x v="0"/>
    <x v="0"/>
    <x v="0"/>
    <x v="3"/>
    <x v="23"/>
    <n v="4"/>
    <n v="530"/>
    <x v="8"/>
    <n v="3360"/>
    <n v="2120"/>
    <n v="1240"/>
    <n v="0.36904761904761907"/>
    <x v="1"/>
  </r>
  <r>
    <x v="9"/>
    <x v="1"/>
    <n v="12"/>
    <x v="4"/>
    <n v="25"/>
    <x v="0"/>
    <x v="1"/>
    <x v="15"/>
    <x v="1"/>
    <x v="0"/>
    <x v="25"/>
    <n v="4"/>
    <n v="550"/>
    <x v="2"/>
    <n v="3400"/>
    <n v="2200"/>
    <n v="1200"/>
    <n v="0.35294117647058826"/>
    <x v="1"/>
  </r>
  <r>
    <x v="19"/>
    <x v="1"/>
    <n v="12"/>
    <x v="5"/>
    <n v="25"/>
    <x v="0"/>
    <x v="1"/>
    <x v="15"/>
    <x v="1"/>
    <x v="0"/>
    <x v="25"/>
    <n v="1"/>
    <n v="550"/>
    <x v="2"/>
    <n v="850"/>
    <n v="550"/>
    <n v="300"/>
    <n v="0.35294117647058826"/>
    <x v="1"/>
  </r>
  <r>
    <x v="28"/>
    <x v="1"/>
    <n v="12"/>
    <x v="3"/>
    <n v="25"/>
    <x v="0"/>
    <x v="1"/>
    <x v="17"/>
    <x v="1"/>
    <x v="2"/>
    <x v="40"/>
    <n v="3"/>
    <n v="550"/>
    <x v="2"/>
    <n v="2550"/>
    <n v="1650"/>
    <n v="900"/>
    <n v="0.35294117647058826"/>
    <x v="1"/>
  </r>
  <r>
    <x v="63"/>
    <x v="1"/>
    <n v="12"/>
    <x v="6"/>
    <n v="25"/>
    <x v="0"/>
    <x v="3"/>
    <x v="6"/>
    <x v="0"/>
    <x v="0"/>
    <x v="10"/>
    <n v="3"/>
    <n v="580"/>
    <x v="4"/>
    <n v="2760"/>
    <n v="1740"/>
    <n v="1020"/>
    <n v="0.36956521739130432"/>
    <x v="1"/>
  </r>
  <r>
    <x v="59"/>
    <x v="1"/>
    <n v="12"/>
    <x v="4"/>
    <n v="25"/>
    <x v="1"/>
    <x v="5"/>
    <x v="16"/>
    <x v="1"/>
    <x v="0"/>
    <x v="41"/>
    <n v="1"/>
    <n v="550"/>
    <x v="2"/>
    <n v="850"/>
    <n v="550"/>
    <n v="300"/>
    <n v="0.35294117647058826"/>
    <x v="1"/>
  </r>
  <r>
    <x v="42"/>
    <x v="1"/>
    <n v="12"/>
    <x v="5"/>
    <n v="25"/>
    <x v="0"/>
    <x v="4"/>
    <x v="11"/>
    <x v="0"/>
    <x v="1"/>
    <x v="5"/>
    <n v="3"/>
    <n v="900"/>
    <x v="3"/>
    <n v="4200"/>
    <n v="2700"/>
    <n v="1500"/>
    <n v="0.35714285714285715"/>
    <x v="1"/>
  </r>
  <r>
    <x v="51"/>
    <x v="1"/>
    <n v="12"/>
    <x v="2"/>
    <n v="25"/>
    <x v="1"/>
    <x v="5"/>
    <x v="16"/>
    <x v="1"/>
    <x v="0"/>
    <x v="41"/>
    <n v="2"/>
    <n v="550"/>
    <x v="2"/>
    <n v="1700"/>
    <n v="1100"/>
    <n v="600"/>
    <n v="0.35294117647058826"/>
    <x v="1"/>
  </r>
  <r>
    <x v="64"/>
    <x v="1"/>
    <n v="12"/>
    <x v="3"/>
    <n v="25"/>
    <x v="1"/>
    <x v="3"/>
    <x v="8"/>
    <x v="0"/>
    <x v="3"/>
    <x v="36"/>
    <n v="1"/>
    <n v="500"/>
    <x v="5"/>
    <n v="800"/>
    <n v="500"/>
    <n v="300"/>
    <n v="0.375"/>
    <x v="1"/>
  </r>
  <r>
    <x v="52"/>
    <x v="2"/>
    <n v="10"/>
    <x v="5"/>
    <n v="26"/>
    <x v="1"/>
    <x v="0"/>
    <x v="1"/>
    <x v="1"/>
    <x v="0"/>
    <x v="15"/>
    <n v="3"/>
    <n v="550"/>
    <x v="2"/>
    <n v="2550"/>
    <n v="1650"/>
    <n v="900"/>
    <n v="0.35294117647058826"/>
    <x v="1"/>
  </r>
  <r>
    <x v="52"/>
    <x v="2"/>
    <n v="10"/>
    <x v="5"/>
    <n v="26"/>
    <x v="0"/>
    <x v="0"/>
    <x v="0"/>
    <x v="0"/>
    <x v="0"/>
    <x v="6"/>
    <n v="1"/>
    <n v="700"/>
    <x v="0"/>
    <n v="1100"/>
    <n v="700"/>
    <n v="400"/>
    <n v="0.36363636363636365"/>
    <x v="1"/>
  </r>
  <r>
    <x v="65"/>
    <x v="2"/>
    <n v="10"/>
    <x v="0"/>
    <n v="26"/>
    <x v="1"/>
    <x v="1"/>
    <x v="22"/>
    <x v="0"/>
    <x v="0"/>
    <x v="7"/>
    <n v="1"/>
    <n v="700"/>
    <x v="0"/>
    <n v="1100"/>
    <n v="700"/>
    <n v="400"/>
    <n v="0.36363636363636365"/>
    <x v="1"/>
  </r>
  <r>
    <x v="65"/>
    <x v="2"/>
    <n v="10"/>
    <x v="0"/>
    <n v="26"/>
    <x v="0"/>
    <x v="3"/>
    <x v="6"/>
    <x v="0"/>
    <x v="1"/>
    <x v="32"/>
    <n v="1"/>
    <n v="580"/>
    <x v="4"/>
    <n v="920"/>
    <n v="580"/>
    <n v="340"/>
    <n v="0.36956521739130432"/>
    <x v="1"/>
  </r>
  <r>
    <x v="66"/>
    <x v="2"/>
    <n v="10"/>
    <x v="1"/>
    <n v="26"/>
    <x v="1"/>
    <x v="0"/>
    <x v="1"/>
    <x v="0"/>
    <x v="1"/>
    <x v="8"/>
    <n v="1"/>
    <n v="580"/>
    <x v="4"/>
    <n v="920"/>
    <n v="580"/>
    <n v="340"/>
    <n v="0.36956521739130432"/>
    <x v="1"/>
  </r>
  <r>
    <x v="67"/>
    <x v="2"/>
    <n v="10"/>
    <x v="4"/>
    <n v="26"/>
    <x v="1"/>
    <x v="3"/>
    <x v="8"/>
    <x v="0"/>
    <x v="1"/>
    <x v="8"/>
    <n v="1"/>
    <n v="580"/>
    <x v="4"/>
    <n v="920"/>
    <n v="580"/>
    <n v="340"/>
    <n v="0.36956521739130432"/>
    <x v="1"/>
  </r>
  <r>
    <x v="68"/>
    <x v="2"/>
    <n v="10"/>
    <x v="1"/>
    <n v="26"/>
    <x v="0"/>
    <x v="0"/>
    <x v="1"/>
    <x v="1"/>
    <x v="2"/>
    <x v="31"/>
    <n v="2"/>
    <n v="450"/>
    <x v="7"/>
    <n v="1440"/>
    <n v="900"/>
    <n v="540"/>
    <n v="0.375"/>
    <x v="1"/>
  </r>
  <r>
    <x v="69"/>
    <x v="2"/>
    <n v="10"/>
    <x v="5"/>
    <n v="26"/>
    <x v="1"/>
    <x v="0"/>
    <x v="2"/>
    <x v="1"/>
    <x v="2"/>
    <x v="20"/>
    <n v="3"/>
    <n v="550"/>
    <x v="2"/>
    <n v="2550"/>
    <n v="1650"/>
    <n v="900"/>
    <n v="0.35294117647058826"/>
    <x v="1"/>
  </r>
  <r>
    <x v="69"/>
    <x v="2"/>
    <n v="10"/>
    <x v="5"/>
    <n v="26"/>
    <x v="1"/>
    <x v="1"/>
    <x v="15"/>
    <x v="0"/>
    <x v="1"/>
    <x v="8"/>
    <n v="1"/>
    <n v="580"/>
    <x v="4"/>
    <n v="920"/>
    <n v="580"/>
    <n v="340"/>
    <n v="0.36956521739130432"/>
    <x v="1"/>
  </r>
  <r>
    <x v="46"/>
    <x v="2"/>
    <n v="10"/>
    <x v="6"/>
    <n v="26"/>
    <x v="1"/>
    <x v="0"/>
    <x v="2"/>
    <x v="1"/>
    <x v="2"/>
    <x v="20"/>
    <n v="3"/>
    <n v="550"/>
    <x v="2"/>
    <n v="2550"/>
    <n v="1650"/>
    <n v="900"/>
    <n v="0.35294117647058826"/>
    <x v="1"/>
  </r>
  <r>
    <x v="38"/>
    <x v="0"/>
    <n v="11"/>
    <x v="5"/>
    <n v="26"/>
    <x v="1"/>
    <x v="0"/>
    <x v="2"/>
    <x v="0"/>
    <x v="0"/>
    <x v="6"/>
    <n v="2"/>
    <n v="700"/>
    <x v="0"/>
    <n v="2200"/>
    <n v="1400"/>
    <n v="800"/>
    <n v="0.36363636363636365"/>
    <x v="1"/>
  </r>
  <r>
    <x v="56"/>
    <x v="0"/>
    <n v="11"/>
    <x v="6"/>
    <n v="26"/>
    <x v="0"/>
    <x v="1"/>
    <x v="17"/>
    <x v="0"/>
    <x v="3"/>
    <x v="37"/>
    <n v="3"/>
    <n v="530"/>
    <x v="8"/>
    <n v="2520"/>
    <n v="1590"/>
    <n v="930"/>
    <n v="0.36904761904761907"/>
    <x v="1"/>
  </r>
  <r>
    <x v="47"/>
    <x v="1"/>
    <n v="12"/>
    <x v="0"/>
    <n v="26"/>
    <x v="1"/>
    <x v="1"/>
    <x v="4"/>
    <x v="0"/>
    <x v="3"/>
    <x v="37"/>
    <n v="1"/>
    <n v="530"/>
    <x v="8"/>
    <n v="840"/>
    <n v="530"/>
    <n v="310"/>
    <n v="0.36904761904761907"/>
    <x v="1"/>
  </r>
  <r>
    <x v="25"/>
    <x v="1"/>
    <n v="12"/>
    <x v="1"/>
    <n v="26"/>
    <x v="0"/>
    <x v="0"/>
    <x v="2"/>
    <x v="0"/>
    <x v="3"/>
    <x v="17"/>
    <n v="4"/>
    <n v="500"/>
    <x v="5"/>
    <n v="3200"/>
    <n v="2000"/>
    <n v="1200"/>
    <n v="0.375"/>
    <x v="1"/>
  </r>
  <r>
    <x v="70"/>
    <x v="1"/>
    <n v="12"/>
    <x v="2"/>
    <n v="26"/>
    <x v="1"/>
    <x v="0"/>
    <x v="1"/>
    <x v="0"/>
    <x v="1"/>
    <x v="8"/>
    <n v="1"/>
    <n v="580"/>
    <x v="4"/>
    <n v="920"/>
    <n v="580"/>
    <n v="340"/>
    <n v="0.36956521739130432"/>
    <x v="1"/>
  </r>
  <r>
    <x v="48"/>
    <x v="1"/>
    <n v="12"/>
    <x v="3"/>
    <n v="26"/>
    <x v="0"/>
    <x v="5"/>
    <x v="16"/>
    <x v="1"/>
    <x v="0"/>
    <x v="25"/>
    <n v="1"/>
    <n v="550"/>
    <x v="2"/>
    <n v="850"/>
    <n v="550"/>
    <n v="300"/>
    <n v="0.35294117647058826"/>
    <x v="1"/>
  </r>
  <r>
    <x v="17"/>
    <x v="1"/>
    <n v="12"/>
    <x v="2"/>
    <n v="26"/>
    <x v="1"/>
    <x v="3"/>
    <x v="8"/>
    <x v="0"/>
    <x v="1"/>
    <x v="8"/>
    <n v="3"/>
    <n v="580"/>
    <x v="4"/>
    <n v="2760"/>
    <n v="1740"/>
    <n v="1020"/>
    <n v="0.36956521739130432"/>
    <x v="1"/>
  </r>
  <r>
    <x v="58"/>
    <x v="1"/>
    <n v="12"/>
    <x v="6"/>
    <n v="26"/>
    <x v="1"/>
    <x v="5"/>
    <x v="16"/>
    <x v="1"/>
    <x v="2"/>
    <x v="13"/>
    <n v="3"/>
    <n v="450"/>
    <x v="7"/>
    <n v="2160"/>
    <n v="1350"/>
    <n v="810"/>
    <n v="0.375"/>
    <x v="1"/>
  </r>
  <r>
    <x v="58"/>
    <x v="1"/>
    <n v="12"/>
    <x v="6"/>
    <n v="26"/>
    <x v="1"/>
    <x v="1"/>
    <x v="23"/>
    <x v="0"/>
    <x v="1"/>
    <x v="34"/>
    <n v="3"/>
    <n v="580"/>
    <x v="4"/>
    <n v="2760"/>
    <n v="1740"/>
    <n v="1020"/>
    <n v="0.36956521739130432"/>
    <x v="1"/>
  </r>
  <r>
    <x v="58"/>
    <x v="1"/>
    <n v="12"/>
    <x v="6"/>
    <n v="26"/>
    <x v="0"/>
    <x v="1"/>
    <x v="15"/>
    <x v="1"/>
    <x v="0"/>
    <x v="15"/>
    <n v="1"/>
    <n v="550"/>
    <x v="2"/>
    <n v="850"/>
    <n v="550"/>
    <n v="300"/>
    <n v="0.35294117647058826"/>
    <x v="1"/>
  </r>
  <r>
    <x v="50"/>
    <x v="1"/>
    <n v="12"/>
    <x v="1"/>
    <n v="26"/>
    <x v="0"/>
    <x v="1"/>
    <x v="24"/>
    <x v="1"/>
    <x v="2"/>
    <x v="20"/>
    <n v="3"/>
    <n v="550"/>
    <x v="2"/>
    <n v="2550"/>
    <n v="1650"/>
    <n v="900"/>
    <n v="0.35294117647058826"/>
    <x v="1"/>
  </r>
  <r>
    <x v="71"/>
    <x v="1"/>
    <n v="12"/>
    <x v="0"/>
    <n v="26"/>
    <x v="1"/>
    <x v="0"/>
    <x v="0"/>
    <x v="0"/>
    <x v="1"/>
    <x v="16"/>
    <n v="4"/>
    <n v="900"/>
    <x v="3"/>
    <n v="5600"/>
    <n v="3600"/>
    <n v="2000"/>
    <n v="0.35714285714285715"/>
    <x v="1"/>
  </r>
  <r>
    <x v="71"/>
    <x v="1"/>
    <n v="12"/>
    <x v="0"/>
    <n v="26"/>
    <x v="0"/>
    <x v="1"/>
    <x v="21"/>
    <x v="0"/>
    <x v="0"/>
    <x v="10"/>
    <n v="1"/>
    <n v="580"/>
    <x v="4"/>
    <n v="920"/>
    <n v="580"/>
    <n v="340"/>
    <n v="0.36956521739130432"/>
    <x v="1"/>
  </r>
  <r>
    <x v="42"/>
    <x v="1"/>
    <n v="12"/>
    <x v="5"/>
    <n v="26"/>
    <x v="1"/>
    <x v="5"/>
    <x v="16"/>
    <x v="0"/>
    <x v="3"/>
    <x v="38"/>
    <n v="3"/>
    <n v="530"/>
    <x v="8"/>
    <n v="2520"/>
    <n v="1590"/>
    <n v="930"/>
    <n v="0.36904761904761907"/>
    <x v="1"/>
  </r>
  <r>
    <x v="42"/>
    <x v="1"/>
    <n v="12"/>
    <x v="5"/>
    <n v="26"/>
    <x v="1"/>
    <x v="4"/>
    <x v="11"/>
    <x v="0"/>
    <x v="1"/>
    <x v="27"/>
    <n v="1"/>
    <n v="580"/>
    <x v="4"/>
    <n v="920"/>
    <n v="580"/>
    <n v="340"/>
    <n v="0.36956521739130432"/>
    <x v="1"/>
  </r>
  <r>
    <x v="64"/>
    <x v="1"/>
    <n v="12"/>
    <x v="3"/>
    <n v="26"/>
    <x v="0"/>
    <x v="0"/>
    <x v="2"/>
    <x v="0"/>
    <x v="3"/>
    <x v="17"/>
    <n v="1"/>
    <n v="500"/>
    <x v="5"/>
    <n v="800"/>
    <n v="500"/>
    <n v="300"/>
    <n v="0.375"/>
    <x v="1"/>
  </r>
  <r>
    <x v="72"/>
    <x v="2"/>
    <n v="10"/>
    <x v="3"/>
    <n v="27"/>
    <x v="0"/>
    <x v="4"/>
    <x v="11"/>
    <x v="0"/>
    <x v="1"/>
    <x v="42"/>
    <n v="2"/>
    <n v="620"/>
    <x v="1"/>
    <n v="1960"/>
    <n v="1240"/>
    <n v="720"/>
    <n v="0.36734693877551022"/>
    <x v="1"/>
  </r>
  <r>
    <x v="73"/>
    <x v="2"/>
    <n v="10"/>
    <x v="6"/>
    <n v="27"/>
    <x v="0"/>
    <x v="1"/>
    <x v="25"/>
    <x v="0"/>
    <x v="0"/>
    <x v="6"/>
    <n v="3"/>
    <n v="700"/>
    <x v="0"/>
    <n v="3300"/>
    <n v="2100"/>
    <n v="1200"/>
    <n v="0.36363636363636365"/>
    <x v="1"/>
  </r>
  <r>
    <x v="66"/>
    <x v="2"/>
    <n v="10"/>
    <x v="1"/>
    <n v="27"/>
    <x v="0"/>
    <x v="5"/>
    <x v="16"/>
    <x v="0"/>
    <x v="0"/>
    <x v="0"/>
    <n v="2"/>
    <n v="700"/>
    <x v="0"/>
    <n v="2200"/>
    <n v="1400"/>
    <n v="800"/>
    <n v="0.36363636363636365"/>
    <x v="1"/>
  </r>
  <r>
    <x v="53"/>
    <x v="2"/>
    <n v="10"/>
    <x v="3"/>
    <n v="27"/>
    <x v="1"/>
    <x v="5"/>
    <x v="16"/>
    <x v="1"/>
    <x v="2"/>
    <x v="20"/>
    <n v="1"/>
    <n v="550"/>
    <x v="2"/>
    <n v="850"/>
    <n v="550"/>
    <n v="300"/>
    <n v="0.35294117647058826"/>
    <x v="1"/>
  </r>
  <r>
    <x v="67"/>
    <x v="2"/>
    <n v="10"/>
    <x v="4"/>
    <n v="27"/>
    <x v="0"/>
    <x v="2"/>
    <x v="7"/>
    <x v="1"/>
    <x v="2"/>
    <x v="20"/>
    <n v="1"/>
    <n v="550"/>
    <x v="2"/>
    <n v="850"/>
    <n v="550"/>
    <n v="300"/>
    <n v="0.35294117647058826"/>
    <x v="1"/>
  </r>
  <r>
    <x v="74"/>
    <x v="2"/>
    <n v="10"/>
    <x v="0"/>
    <n v="27"/>
    <x v="0"/>
    <x v="0"/>
    <x v="1"/>
    <x v="1"/>
    <x v="0"/>
    <x v="25"/>
    <n v="1"/>
    <n v="550"/>
    <x v="2"/>
    <n v="850"/>
    <n v="550"/>
    <n v="300"/>
    <n v="0.35294117647058826"/>
    <x v="1"/>
  </r>
  <r>
    <x v="69"/>
    <x v="2"/>
    <n v="10"/>
    <x v="5"/>
    <n v="27"/>
    <x v="0"/>
    <x v="5"/>
    <x v="16"/>
    <x v="0"/>
    <x v="0"/>
    <x v="0"/>
    <n v="1"/>
    <n v="700"/>
    <x v="0"/>
    <n v="1100"/>
    <n v="700"/>
    <n v="400"/>
    <n v="0.36363636363636365"/>
    <x v="1"/>
  </r>
  <r>
    <x v="75"/>
    <x v="2"/>
    <n v="10"/>
    <x v="6"/>
    <n v="27"/>
    <x v="1"/>
    <x v="0"/>
    <x v="10"/>
    <x v="1"/>
    <x v="0"/>
    <x v="15"/>
    <n v="1"/>
    <n v="550"/>
    <x v="2"/>
    <n v="850"/>
    <n v="550"/>
    <n v="300"/>
    <n v="0.35294117647058826"/>
    <x v="1"/>
  </r>
  <r>
    <x v="20"/>
    <x v="2"/>
    <n v="10"/>
    <x v="4"/>
    <n v="27"/>
    <x v="1"/>
    <x v="1"/>
    <x v="26"/>
    <x v="0"/>
    <x v="0"/>
    <x v="0"/>
    <n v="3"/>
    <n v="700"/>
    <x v="0"/>
    <n v="3300"/>
    <n v="2100"/>
    <n v="1200"/>
    <n v="0.36363636363636365"/>
    <x v="1"/>
  </r>
  <r>
    <x v="20"/>
    <x v="2"/>
    <n v="10"/>
    <x v="4"/>
    <n v="27"/>
    <x v="1"/>
    <x v="5"/>
    <x v="16"/>
    <x v="0"/>
    <x v="3"/>
    <x v="23"/>
    <n v="2"/>
    <n v="530"/>
    <x v="8"/>
    <n v="1680"/>
    <n v="1060"/>
    <n v="620"/>
    <n v="0.36904761904761907"/>
    <x v="1"/>
  </r>
  <r>
    <x v="20"/>
    <x v="2"/>
    <n v="10"/>
    <x v="4"/>
    <n v="27"/>
    <x v="0"/>
    <x v="4"/>
    <x v="11"/>
    <x v="0"/>
    <x v="1"/>
    <x v="42"/>
    <n v="1"/>
    <n v="620"/>
    <x v="1"/>
    <n v="980"/>
    <n v="620"/>
    <n v="360"/>
    <n v="0.36734693877551022"/>
    <x v="1"/>
  </r>
  <r>
    <x v="45"/>
    <x v="2"/>
    <n v="10"/>
    <x v="1"/>
    <n v="27"/>
    <x v="0"/>
    <x v="5"/>
    <x v="16"/>
    <x v="1"/>
    <x v="2"/>
    <x v="31"/>
    <n v="2"/>
    <n v="450"/>
    <x v="7"/>
    <n v="1440"/>
    <n v="900"/>
    <n v="540"/>
    <n v="0.375"/>
    <x v="1"/>
  </r>
  <r>
    <x v="36"/>
    <x v="2"/>
    <n v="10"/>
    <x v="2"/>
    <n v="27"/>
    <x v="0"/>
    <x v="5"/>
    <x v="16"/>
    <x v="0"/>
    <x v="0"/>
    <x v="0"/>
    <n v="4"/>
    <n v="700"/>
    <x v="0"/>
    <n v="4400"/>
    <n v="2800"/>
    <n v="1600"/>
    <n v="0.36363636363636365"/>
    <x v="1"/>
  </r>
  <r>
    <x v="76"/>
    <x v="2"/>
    <n v="10"/>
    <x v="3"/>
    <n v="27"/>
    <x v="1"/>
    <x v="0"/>
    <x v="2"/>
    <x v="1"/>
    <x v="2"/>
    <x v="20"/>
    <n v="1"/>
    <n v="550"/>
    <x v="2"/>
    <n v="850"/>
    <n v="550"/>
    <n v="300"/>
    <n v="0.35294117647058826"/>
    <x v="1"/>
  </r>
  <r>
    <x v="46"/>
    <x v="2"/>
    <n v="10"/>
    <x v="6"/>
    <n v="27"/>
    <x v="0"/>
    <x v="1"/>
    <x v="21"/>
    <x v="1"/>
    <x v="0"/>
    <x v="41"/>
    <n v="2"/>
    <n v="550"/>
    <x v="2"/>
    <n v="1700"/>
    <n v="1100"/>
    <n v="600"/>
    <n v="0.35294117647058826"/>
    <x v="1"/>
  </r>
  <r>
    <x v="4"/>
    <x v="0"/>
    <n v="11"/>
    <x v="2"/>
    <n v="27"/>
    <x v="0"/>
    <x v="1"/>
    <x v="15"/>
    <x v="0"/>
    <x v="3"/>
    <x v="36"/>
    <n v="1"/>
    <n v="500"/>
    <x v="5"/>
    <n v="800"/>
    <n v="500"/>
    <n v="300"/>
    <n v="0.375"/>
    <x v="1"/>
  </r>
  <r>
    <x v="13"/>
    <x v="0"/>
    <n v="11"/>
    <x v="6"/>
    <n v="27"/>
    <x v="0"/>
    <x v="0"/>
    <x v="2"/>
    <x v="0"/>
    <x v="0"/>
    <x v="28"/>
    <n v="1"/>
    <n v="580"/>
    <x v="4"/>
    <n v="920"/>
    <n v="580"/>
    <n v="340"/>
    <n v="0.36956521739130432"/>
    <x v="1"/>
  </r>
  <r>
    <x v="5"/>
    <x v="0"/>
    <n v="11"/>
    <x v="1"/>
    <n v="27"/>
    <x v="1"/>
    <x v="0"/>
    <x v="1"/>
    <x v="0"/>
    <x v="3"/>
    <x v="33"/>
    <n v="4"/>
    <n v="500"/>
    <x v="5"/>
    <n v="3200"/>
    <n v="2000"/>
    <n v="1200"/>
    <n v="0.375"/>
    <x v="1"/>
  </r>
  <r>
    <x v="24"/>
    <x v="0"/>
    <n v="11"/>
    <x v="2"/>
    <n v="27"/>
    <x v="0"/>
    <x v="0"/>
    <x v="2"/>
    <x v="0"/>
    <x v="0"/>
    <x v="28"/>
    <n v="3"/>
    <n v="580"/>
    <x v="4"/>
    <n v="2760"/>
    <n v="1740"/>
    <n v="1020"/>
    <n v="0.36956521739130432"/>
    <x v="1"/>
  </r>
  <r>
    <x v="6"/>
    <x v="0"/>
    <n v="11"/>
    <x v="3"/>
    <n v="27"/>
    <x v="1"/>
    <x v="5"/>
    <x v="16"/>
    <x v="0"/>
    <x v="3"/>
    <x v="23"/>
    <n v="3"/>
    <n v="530"/>
    <x v="8"/>
    <n v="2520"/>
    <n v="1590"/>
    <n v="930"/>
    <n v="0.36904761904761907"/>
    <x v="1"/>
  </r>
  <r>
    <x v="56"/>
    <x v="0"/>
    <n v="11"/>
    <x v="6"/>
    <n v="27"/>
    <x v="0"/>
    <x v="4"/>
    <x v="11"/>
    <x v="0"/>
    <x v="1"/>
    <x v="42"/>
    <n v="3"/>
    <n v="620"/>
    <x v="1"/>
    <n v="2940"/>
    <n v="1860"/>
    <n v="1080"/>
    <n v="0.36734693877551022"/>
    <x v="1"/>
  </r>
  <r>
    <x v="56"/>
    <x v="0"/>
    <n v="11"/>
    <x v="6"/>
    <n v="27"/>
    <x v="0"/>
    <x v="4"/>
    <x v="11"/>
    <x v="0"/>
    <x v="1"/>
    <x v="42"/>
    <n v="2"/>
    <n v="620"/>
    <x v="1"/>
    <n v="1960"/>
    <n v="1240"/>
    <n v="720"/>
    <n v="0.36734693877551022"/>
    <x v="1"/>
  </r>
  <r>
    <x v="56"/>
    <x v="0"/>
    <n v="11"/>
    <x v="6"/>
    <n v="27"/>
    <x v="0"/>
    <x v="4"/>
    <x v="11"/>
    <x v="0"/>
    <x v="1"/>
    <x v="42"/>
    <n v="1"/>
    <n v="620"/>
    <x v="1"/>
    <n v="980"/>
    <n v="620"/>
    <n v="360"/>
    <n v="0.36734693877551022"/>
    <x v="1"/>
  </r>
  <r>
    <x v="32"/>
    <x v="0"/>
    <n v="11"/>
    <x v="4"/>
    <n v="27"/>
    <x v="1"/>
    <x v="4"/>
    <x v="11"/>
    <x v="0"/>
    <x v="3"/>
    <x v="33"/>
    <n v="1"/>
    <n v="500"/>
    <x v="5"/>
    <n v="800"/>
    <n v="500"/>
    <n v="300"/>
    <n v="0.375"/>
    <x v="1"/>
  </r>
  <r>
    <x v="41"/>
    <x v="1"/>
    <n v="12"/>
    <x v="6"/>
    <n v="27"/>
    <x v="0"/>
    <x v="2"/>
    <x v="7"/>
    <x v="0"/>
    <x v="3"/>
    <x v="17"/>
    <n v="1"/>
    <n v="500"/>
    <x v="5"/>
    <n v="800"/>
    <n v="500"/>
    <n v="300"/>
    <n v="0.375"/>
    <x v="1"/>
  </r>
  <r>
    <x v="77"/>
    <x v="1"/>
    <n v="12"/>
    <x v="4"/>
    <n v="27"/>
    <x v="0"/>
    <x v="1"/>
    <x v="27"/>
    <x v="0"/>
    <x v="1"/>
    <x v="43"/>
    <n v="3"/>
    <n v="900"/>
    <x v="3"/>
    <n v="4200"/>
    <n v="2700"/>
    <n v="1500"/>
    <n v="0.35714285714285715"/>
    <x v="1"/>
  </r>
  <r>
    <x v="47"/>
    <x v="1"/>
    <n v="12"/>
    <x v="0"/>
    <n v="27"/>
    <x v="0"/>
    <x v="4"/>
    <x v="11"/>
    <x v="1"/>
    <x v="0"/>
    <x v="15"/>
    <n v="1"/>
    <n v="550"/>
    <x v="2"/>
    <n v="850"/>
    <n v="550"/>
    <n v="300"/>
    <n v="0.35294117647058826"/>
    <x v="1"/>
  </r>
  <r>
    <x v="26"/>
    <x v="1"/>
    <n v="12"/>
    <x v="5"/>
    <n v="27"/>
    <x v="0"/>
    <x v="0"/>
    <x v="10"/>
    <x v="0"/>
    <x v="3"/>
    <x v="36"/>
    <n v="4"/>
    <n v="500"/>
    <x v="5"/>
    <n v="3200"/>
    <n v="2000"/>
    <n v="1200"/>
    <n v="0.375"/>
    <x v="1"/>
  </r>
  <r>
    <x v="48"/>
    <x v="1"/>
    <n v="12"/>
    <x v="3"/>
    <n v="27"/>
    <x v="1"/>
    <x v="0"/>
    <x v="0"/>
    <x v="0"/>
    <x v="0"/>
    <x v="28"/>
    <n v="2"/>
    <n v="580"/>
    <x v="4"/>
    <n v="1840"/>
    <n v="1160"/>
    <n v="680"/>
    <n v="0.36956521739130432"/>
    <x v="1"/>
  </r>
  <r>
    <x v="15"/>
    <x v="1"/>
    <n v="12"/>
    <x v="6"/>
    <n v="27"/>
    <x v="1"/>
    <x v="1"/>
    <x v="17"/>
    <x v="0"/>
    <x v="1"/>
    <x v="8"/>
    <n v="3"/>
    <n v="580"/>
    <x v="4"/>
    <n v="2760"/>
    <n v="1740"/>
    <n v="1020"/>
    <n v="0.36956521739130432"/>
    <x v="1"/>
  </r>
  <r>
    <x v="15"/>
    <x v="1"/>
    <n v="12"/>
    <x v="6"/>
    <n v="27"/>
    <x v="0"/>
    <x v="4"/>
    <x v="11"/>
    <x v="1"/>
    <x v="0"/>
    <x v="15"/>
    <n v="1"/>
    <n v="550"/>
    <x v="2"/>
    <n v="850"/>
    <n v="550"/>
    <n v="300"/>
    <n v="0.35294117647058826"/>
    <x v="1"/>
  </r>
  <r>
    <x v="15"/>
    <x v="1"/>
    <n v="12"/>
    <x v="6"/>
    <n v="27"/>
    <x v="1"/>
    <x v="1"/>
    <x v="4"/>
    <x v="0"/>
    <x v="0"/>
    <x v="10"/>
    <n v="1"/>
    <n v="580"/>
    <x v="4"/>
    <n v="920"/>
    <n v="580"/>
    <n v="340"/>
    <n v="0.36956521739130432"/>
    <x v="1"/>
  </r>
  <r>
    <x v="16"/>
    <x v="1"/>
    <n v="12"/>
    <x v="4"/>
    <n v="27"/>
    <x v="0"/>
    <x v="0"/>
    <x v="0"/>
    <x v="0"/>
    <x v="0"/>
    <x v="7"/>
    <n v="4"/>
    <n v="700"/>
    <x v="0"/>
    <n v="4400"/>
    <n v="2800"/>
    <n v="1600"/>
    <n v="0.36363636363636365"/>
    <x v="1"/>
  </r>
  <r>
    <x v="78"/>
    <x v="1"/>
    <n v="12"/>
    <x v="0"/>
    <n v="27"/>
    <x v="0"/>
    <x v="0"/>
    <x v="0"/>
    <x v="0"/>
    <x v="0"/>
    <x v="7"/>
    <n v="1"/>
    <n v="700"/>
    <x v="0"/>
    <n v="1100"/>
    <n v="700"/>
    <n v="400"/>
    <n v="0.36363636363636365"/>
    <x v="1"/>
  </r>
  <r>
    <x v="17"/>
    <x v="1"/>
    <n v="12"/>
    <x v="2"/>
    <n v="27"/>
    <x v="1"/>
    <x v="1"/>
    <x v="18"/>
    <x v="1"/>
    <x v="2"/>
    <x v="3"/>
    <n v="1"/>
    <n v="550"/>
    <x v="2"/>
    <n v="850"/>
    <n v="550"/>
    <n v="300"/>
    <n v="0.35294117647058826"/>
    <x v="1"/>
  </r>
  <r>
    <x v="18"/>
    <x v="1"/>
    <n v="12"/>
    <x v="3"/>
    <n v="27"/>
    <x v="0"/>
    <x v="0"/>
    <x v="2"/>
    <x v="0"/>
    <x v="0"/>
    <x v="28"/>
    <n v="4"/>
    <n v="580"/>
    <x v="4"/>
    <n v="3680"/>
    <n v="2320"/>
    <n v="1360"/>
    <n v="0.36956521739130432"/>
    <x v="1"/>
  </r>
  <r>
    <x v="79"/>
    <x v="1"/>
    <n v="12"/>
    <x v="0"/>
    <n v="27"/>
    <x v="1"/>
    <x v="4"/>
    <x v="11"/>
    <x v="0"/>
    <x v="3"/>
    <x v="33"/>
    <n v="1"/>
    <n v="500"/>
    <x v="5"/>
    <n v="800"/>
    <n v="500"/>
    <n v="300"/>
    <n v="0.375"/>
    <x v="1"/>
  </r>
  <r>
    <x v="50"/>
    <x v="1"/>
    <n v="12"/>
    <x v="1"/>
    <n v="27"/>
    <x v="1"/>
    <x v="0"/>
    <x v="2"/>
    <x v="0"/>
    <x v="1"/>
    <x v="8"/>
    <n v="1"/>
    <n v="580"/>
    <x v="4"/>
    <n v="920"/>
    <n v="580"/>
    <n v="340"/>
    <n v="0.36956521739130432"/>
    <x v="1"/>
  </r>
  <r>
    <x v="19"/>
    <x v="1"/>
    <n v="12"/>
    <x v="5"/>
    <n v="27"/>
    <x v="1"/>
    <x v="4"/>
    <x v="11"/>
    <x v="1"/>
    <x v="0"/>
    <x v="15"/>
    <n v="1"/>
    <n v="550"/>
    <x v="2"/>
    <n v="850"/>
    <n v="550"/>
    <n v="300"/>
    <n v="0.35294117647058826"/>
    <x v="1"/>
  </r>
  <r>
    <x v="28"/>
    <x v="1"/>
    <n v="12"/>
    <x v="3"/>
    <n v="27"/>
    <x v="0"/>
    <x v="2"/>
    <x v="7"/>
    <x v="0"/>
    <x v="3"/>
    <x v="17"/>
    <n v="1"/>
    <n v="500"/>
    <x v="5"/>
    <n v="800"/>
    <n v="500"/>
    <n v="300"/>
    <n v="0.375"/>
    <x v="1"/>
  </r>
  <r>
    <x v="28"/>
    <x v="1"/>
    <n v="12"/>
    <x v="3"/>
    <n v="27"/>
    <x v="1"/>
    <x v="1"/>
    <x v="27"/>
    <x v="0"/>
    <x v="0"/>
    <x v="6"/>
    <n v="1"/>
    <n v="700"/>
    <x v="0"/>
    <n v="1100"/>
    <n v="700"/>
    <n v="400"/>
    <n v="0.36363636363636365"/>
    <x v="1"/>
  </r>
  <r>
    <x v="63"/>
    <x v="1"/>
    <n v="12"/>
    <x v="6"/>
    <n v="27"/>
    <x v="1"/>
    <x v="1"/>
    <x v="27"/>
    <x v="0"/>
    <x v="0"/>
    <x v="6"/>
    <n v="1"/>
    <n v="700"/>
    <x v="0"/>
    <n v="1100"/>
    <n v="700"/>
    <n v="400"/>
    <n v="0.36363636363636365"/>
    <x v="1"/>
  </r>
  <r>
    <x v="72"/>
    <x v="2"/>
    <n v="10"/>
    <x v="3"/>
    <n v="28"/>
    <x v="0"/>
    <x v="5"/>
    <x v="16"/>
    <x v="1"/>
    <x v="0"/>
    <x v="25"/>
    <n v="2"/>
    <n v="550"/>
    <x v="2"/>
    <n v="1700"/>
    <n v="1100"/>
    <n v="600"/>
    <n v="0.35294117647058826"/>
    <x v="1"/>
  </r>
  <r>
    <x v="72"/>
    <x v="2"/>
    <n v="10"/>
    <x v="3"/>
    <n v="28"/>
    <x v="0"/>
    <x v="0"/>
    <x v="10"/>
    <x v="1"/>
    <x v="2"/>
    <x v="20"/>
    <n v="1"/>
    <n v="550"/>
    <x v="2"/>
    <n v="850"/>
    <n v="550"/>
    <n v="300"/>
    <n v="0.35294117647058826"/>
    <x v="1"/>
  </r>
  <r>
    <x v="80"/>
    <x v="2"/>
    <n v="10"/>
    <x v="6"/>
    <n v="28"/>
    <x v="1"/>
    <x v="0"/>
    <x v="1"/>
    <x v="1"/>
    <x v="0"/>
    <x v="25"/>
    <n v="3"/>
    <n v="550"/>
    <x v="2"/>
    <n v="2550"/>
    <n v="1650"/>
    <n v="900"/>
    <n v="0.35294117647058826"/>
    <x v="1"/>
  </r>
  <r>
    <x v="80"/>
    <x v="2"/>
    <n v="10"/>
    <x v="6"/>
    <n v="28"/>
    <x v="1"/>
    <x v="0"/>
    <x v="1"/>
    <x v="1"/>
    <x v="0"/>
    <x v="25"/>
    <n v="2"/>
    <n v="550"/>
    <x v="2"/>
    <n v="1700"/>
    <n v="1100"/>
    <n v="600"/>
    <n v="0.35294117647058826"/>
    <x v="1"/>
  </r>
  <r>
    <x v="35"/>
    <x v="2"/>
    <n v="10"/>
    <x v="3"/>
    <n v="28"/>
    <x v="1"/>
    <x v="5"/>
    <x v="16"/>
    <x v="1"/>
    <x v="0"/>
    <x v="15"/>
    <n v="1"/>
    <n v="550"/>
    <x v="2"/>
    <n v="850"/>
    <n v="550"/>
    <n v="300"/>
    <n v="0.35294117647058826"/>
    <x v="1"/>
  </r>
  <r>
    <x v="65"/>
    <x v="2"/>
    <n v="10"/>
    <x v="0"/>
    <n v="28"/>
    <x v="0"/>
    <x v="0"/>
    <x v="3"/>
    <x v="1"/>
    <x v="0"/>
    <x v="41"/>
    <n v="1"/>
    <n v="550"/>
    <x v="2"/>
    <n v="850"/>
    <n v="550"/>
    <n v="300"/>
    <n v="0.35294117647058826"/>
    <x v="1"/>
  </r>
  <r>
    <x v="81"/>
    <x v="2"/>
    <n v="10"/>
    <x v="2"/>
    <n v="28"/>
    <x v="0"/>
    <x v="0"/>
    <x v="2"/>
    <x v="1"/>
    <x v="2"/>
    <x v="40"/>
    <n v="1"/>
    <n v="550"/>
    <x v="2"/>
    <n v="850"/>
    <n v="550"/>
    <n v="300"/>
    <n v="0.35294117647058826"/>
    <x v="1"/>
  </r>
  <r>
    <x v="82"/>
    <x v="2"/>
    <n v="10"/>
    <x v="6"/>
    <n v="28"/>
    <x v="1"/>
    <x v="5"/>
    <x v="16"/>
    <x v="1"/>
    <x v="0"/>
    <x v="15"/>
    <n v="1"/>
    <n v="550"/>
    <x v="2"/>
    <n v="850"/>
    <n v="550"/>
    <n v="300"/>
    <n v="0.35294117647058826"/>
    <x v="1"/>
  </r>
  <r>
    <x v="74"/>
    <x v="2"/>
    <n v="10"/>
    <x v="0"/>
    <n v="28"/>
    <x v="1"/>
    <x v="0"/>
    <x v="0"/>
    <x v="1"/>
    <x v="0"/>
    <x v="41"/>
    <n v="1"/>
    <n v="550"/>
    <x v="2"/>
    <n v="850"/>
    <n v="550"/>
    <n v="300"/>
    <n v="0.35294117647058826"/>
    <x v="1"/>
  </r>
  <r>
    <x v="74"/>
    <x v="2"/>
    <n v="10"/>
    <x v="0"/>
    <n v="28"/>
    <x v="0"/>
    <x v="2"/>
    <x v="7"/>
    <x v="1"/>
    <x v="0"/>
    <x v="25"/>
    <n v="1"/>
    <n v="550"/>
    <x v="2"/>
    <n v="850"/>
    <n v="550"/>
    <n v="300"/>
    <n v="0.35294117647058826"/>
    <x v="1"/>
  </r>
  <r>
    <x v="68"/>
    <x v="2"/>
    <n v="10"/>
    <x v="1"/>
    <n v="28"/>
    <x v="1"/>
    <x v="0"/>
    <x v="2"/>
    <x v="1"/>
    <x v="0"/>
    <x v="25"/>
    <n v="3"/>
    <n v="550"/>
    <x v="2"/>
    <n v="2550"/>
    <n v="1650"/>
    <n v="900"/>
    <n v="0.35294117647058826"/>
    <x v="1"/>
  </r>
  <r>
    <x v="43"/>
    <x v="2"/>
    <n v="10"/>
    <x v="2"/>
    <n v="28"/>
    <x v="0"/>
    <x v="1"/>
    <x v="15"/>
    <x v="1"/>
    <x v="2"/>
    <x v="31"/>
    <n v="4"/>
    <n v="450"/>
    <x v="7"/>
    <n v="2880"/>
    <n v="1800"/>
    <n v="1080"/>
    <n v="0.375"/>
    <x v="1"/>
  </r>
  <r>
    <x v="44"/>
    <x v="2"/>
    <n v="10"/>
    <x v="0"/>
    <n v="28"/>
    <x v="0"/>
    <x v="0"/>
    <x v="0"/>
    <x v="1"/>
    <x v="0"/>
    <x v="25"/>
    <n v="4"/>
    <n v="550"/>
    <x v="2"/>
    <n v="3400"/>
    <n v="2200"/>
    <n v="1200"/>
    <n v="0.35294117647058826"/>
    <x v="1"/>
  </r>
  <r>
    <x v="11"/>
    <x v="0"/>
    <n v="11"/>
    <x v="5"/>
    <n v="28"/>
    <x v="0"/>
    <x v="5"/>
    <x v="16"/>
    <x v="0"/>
    <x v="1"/>
    <x v="5"/>
    <n v="4"/>
    <n v="900"/>
    <x v="3"/>
    <n v="5600"/>
    <n v="3600"/>
    <n v="2000"/>
    <n v="0.35714285714285715"/>
    <x v="1"/>
  </r>
  <r>
    <x v="55"/>
    <x v="0"/>
    <n v="11"/>
    <x v="6"/>
    <n v="28"/>
    <x v="0"/>
    <x v="0"/>
    <x v="3"/>
    <x v="0"/>
    <x v="0"/>
    <x v="10"/>
    <n v="4"/>
    <n v="580"/>
    <x v="4"/>
    <n v="3680"/>
    <n v="2320"/>
    <n v="1360"/>
    <n v="0.36956521739130432"/>
    <x v="1"/>
  </r>
  <r>
    <x v="38"/>
    <x v="0"/>
    <n v="11"/>
    <x v="5"/>
    <n v="28"/>
    <x v="0"/>
    <x v="5"/>
    <x v="16"/>
    <x v="0"/>
    <x v="1"/>
    <x v="5"/>
    <n v="2"/>
    <n v="900"/>
    <x v="3"/>
    <n v="2800"/>
    <n v="1800"/>
    <n v="1000"/>
    <n v="0.35714285714285715"/>
    <x v="1"/>
  </r>
  <r>
    <x v="38"/>
    <x v="0"/>
    <n v="11"/>
    <x v="5"/>
    <n v="28"/>
    <x v="0"/>
    <x v="5"/>
    <x v="16"/>
    <x v="1"/>
    <x v="0"/>
    <x v="25"/>
    <n v="1"/>
    <n v="550"/>
    <x v="2"/>
    <n v="850"/>
    <n v="550"/>
    <n v="300"/>
    <n v="0.35294117647058826"/>
    <x v="1"/>
  </r>
  <r>
    <x v="40"/>
    <x v="0"/>
    <n v="11"/>
    <x v="5"/>
    <n v="28"/>
    <x v="1"/>
    <x v="2"/>
    <x v="9"/>
    <x v="1"/>
    <x v="2"/>
    <x v="20"/>
    <n v="2"/>
    <n v="550"/>
    <x v="2"/>
    <n v="1700"/>
    <n v="1100"/>
    <n v="600"/>
    <n v="0.35294117647058826"/>
    <x v="1"/>
  </r>
  <r>
    <x v="24"/>
    <x v="0"/>
    <n v="11"/>
    <x v="2"/>
    <n v="28"/>
    <x v="1"/>
    <x v="5"/>
    <x v="16"/>
    <x v="0"/>
    <x v="0"/>
    <x v="0"/>
    <n v="3"/>
    <n v="700"/>
    <x v="0"/>
    <n v="3300"/>
    <n v="2100"/>
    <n v="1200"/>
    <n v="0.36363636363636365"/>
    <x v="1"/>
  </r>
  <r>
    <x v="56"/>
    <x v="0"/>
    <n v="11"/>
    <x v="6"/>
    <n v="28"/>
    <x v="1"/>
    <x v="5"/>
    <x v="16"/>
    <x v="0"/>
    <x v="0"/>
    <x v="0"/>
    <n v="4"/>
    <n v="700"/>
    <x v="0"/>
    <n v="4400"/>
    <n v="2800"/>
    <n v="1600"/>
    <n v="0.36363636363636365"/>
    <x v="1"/>
  </r>
  <r>
    <x v="32"/>
    <x v="0"/>
    <n v="11"/>
    <x v="4"/>
    <n v="28"/>
    <x v="1"/>
    <x v="5"/>
    <x v="16"/>
    <x v="0"/>
    <x v="0"/>
    <x v="0"/>
    <n v="1"/>
    <n v="700"/>
    <x v="0"/>
    <n v="1100"/>
    <n v="700"/>
    <n v="400"/>
    <n v="0.36363636363636365"/>
    <x v="1"/>
  </r>
  <r>
    <x v="33"/>
    <x v="1"/>
    <n v="12"/>
    <x v="5"/>
    <n v="28"/>
    <x v="1"/>
    <x v="0"/>
    <x v="1"/>
    <x v="0"/>
    <x v="0"/>
    <x v="10"/>
    <n v="1"/>
    <n v="580"/>
    <x v="4"/>
    <n v="920"/>
    <n v="580"/>
    <n v="340"/>
    <n v="0.36956521739130432"/>
    <x v="1"/>
  </r>
  <r>
    <x v="33"/>
    <x v="1"/>
    <n v="12"/>
    <x v="5"/>
    <n v="28"/>
    <x v="1"/>
    <x v="2"/>
    <x v="7"/>
    <x v="0"/>
    <x v="0"/>
    <x v="22"/>
    <n v="1"/>
    <n v="700"/>
    <x v="0"/>
    <n v="1100"/>
    <n v="700"/>
    <n v="400"/>
    <n v="0.36363636363636365"/>
    <x v="1"/>
  </r>
  <r>
    <x v="83"/>
    <x v="1"/>
    <n v="12"/>
    <x v="2"/>
    <n v="28"/>
    <x v="1"/>
    <x v="2"/>
    <x v="5"/>
    <x v="0"/>
    <x v="3"/>
    <x v="35"/>
    <n v="1"/>
    <n v="500"/>
    <x v="5"/>
    <n v="800"/>
    <n v="500"/>
    <n v="300"/>
    <n v="0.375"/>
    <x v="1"/>
  </r>
  <r>
    <x v="57"/>
    <x v="1"/>
    <n v="12"/>
    <x v="3"/>
    <n v="28"/>
    <x v="0"/>
    <x v="1"/>
    <x v="21"/>
    <x v="0"/>
    <x v="3"/>
    <x v="38"/>
    <n v="3"/>
    <n v="530"/>
    <x v="8"/>
    <n v="2520"/>
    <n v="1590"/>
    <n v="930"/>
    <n v="0.36904761904761907"/>
    <x v="1"/>
  </r>
  <r>
    <x v="57"/>
    <x v="1"/>
    <n v="12"/>
    <x v="3"/>
    <n v="28"/>
    <x v="1"/>
    <x v="0"/>
    <x v="1"/>
    <x v="0"/>
    <x v="0"/>
    <x v="10"/>
    <n v="1"/>
    <n v="580"/>
    <x v="4"/>
    <n v="920"/>
    <n v="580"/>
    <n v="340"/>
    <n v="0.36956521739130432"/>
    <x v="1"/>
  </r>
  <r>
    <x v="57"/>
    <x v="1"/>
    <n v="12"/>
    <x v="3"/>
    <n v="28"/>
    <x v="0"/>
    <x v="1"/>
    <x v="15"/>
    <x v="0"/>
    <x v="3"/>
    <x v="35"/>
    <n v="1"/>
    <n v="500"/>
    <x v="5"/>
    <n v="800"/>
    <n v="500"/>
    <n v="300"/>
    <n v="0.375"/>
    <x v="1"/>
  </r>
  <r>
    <x v="77"/>
    <x v="1"/>
    <n v="12"/>
    <x v="4"/>
    <n v="28"/>
    <x v="1"/>
    <x v="2"/>
    <x v="7"/>
    <x v="0"/>
    <x v="0"/>
    <x v="22"/>
    <n v="1"/>
    <n v="700"/>
    <x v="0"/>
    <n v="1100"/>
    <n v="700"/>
    <n v="400"/>
    <n v="0.36363636363636365"/>
    <x v="1"/>
  </r>
  <r>
    <x v="77"/>
    <x v="1"/>
    <n v="12"/>
    <x v="4"/>
    <n v="28"/>
    <x v="1"/>
    <x v="4"/>
    <x v="11"/>
    <x v="0"/>
    <x v="1"/>
    <x v="32"/>
    <n v="1"/>
    <n v="580"/>
    <x v="4"/>
    <n v="920"/>
    <n v="580"/>
    <n v="340"/>
    <n v="0.36956521739130432"/>
    <x v="1"/>
  </r>
  <r>
    <x v="16"/>
    <x v="1"/>
    <n v="12"/>
    <x v="4"/>
    <n v="28"/>
    <x v="0"/>
    <x v="1"/>
    <x v="4"/>
    <x v="0"/>
    <x v="1"/>
    <x v="43"/>
    <n v="3"/>
    <n v="900"/>
    <x v="3"/>
    <n v="4200"/>
    <n v="2700"/>
    <n v="1500"/>
    <n v="0.35714285714285715"/>
    <x v="1"/>
  </r>
  <r>
    <x v="78"/>
    <x v="1"/>
    <n v="12"/>
    <x v="0"/>
    <n v="28"/>
    <x v="0"/>
    <x v="0"/>
    <x v="1"/>
    <x v="0"/>
    <x v="3"/>
    <x v="29"/>
    <n v="4"/>
    <n v="530"/>
    <x v="8"/>
    <n v="3360"/>
    <n v="2120"/>
    <n v="1240"/>
    <n v="0.36904761904761907"/>
    <x v="1"/>
  </r>
  <r>
    <x v="78"/>
    <x v="1"/>
    <n v="12"/>
    <x v="0"/>
    <n v="28"/>
    <x v="1"/>
    <x v="1"/>
    <x v="22"/>
    <x v="0"/>
    <x v="3"/>
    <x v="37"/>
    <n v="2"/>
    <n v="530"/>
    <x v="8"/>
    <n v="1680"/>
    <n v="1060"/>
    <n v="620"/>
    <n v="0.36904761904761907"/>
    <x v="1"/>
  </r>
  <r>
    <x v="49"/>
    <x v="1"/>
    <n v="12"/>
    <x v="5"/>
    <n v="28"/>
    <x v="1"/>
    <x v="0"/>
    <x v="1"/>
    <x v="0"/>
    <x v="0"/>
    <x v="10"/>
    <n v="4"/>
    <n v="580"/>
    <x v="4"/>
    <n v="3680"/>
    <n v="2320"/>
    <n v="1360"/>
    <n v="0.36956521739130432"/>
    <x v="1"/>
  </r>
  <r>
    <x v="17"/>
    <x v="1"/>
    <n v="12"/>
    <x v="2"/>
    <n v="28"/>
    <x v="0"/>
    <x v="1"/>
    <x v="15"/>
    <x v="0"/>
    <x v="3"/>
    <x v="35"/>
    <n v="1"/>
    <n v="500"/>
    <x v="5"/>
    <n v="800"/>
    <n v="500"/>
    <n v="300"/>
    <n v="0.375"/>
    <x v="1"/>
  </r>
  <r>
    <x v="19"/>
    <x v="1"/>
    <n v="12"/>
    <x v="5"/>
    <n v="28"/>
    <x v="0"/>
    <x v="2"/>
    <x v="7"/>
    <x v="0"/>
    <x v="1"/>
    <x v="5"/>
    <n v="2"/>
    <n v="900"/>
    <x v="3"/>
    <n v="2800"/>
    <n v="1800"/>
    <n v="1000"/>
    <n v="0.35714285714285715"/>
    <x v="1"/>
  </r>
  <r>
    <x v="19"/>
    <x v="1"/>
    <n v="12"/>
    <x v="5"/>
    <n v="28"/>
    <x v="1"/>
    <x v="2"/>
    <x v="7"/>
    <x v="0"/>
    <x v="0"/>
    <x v="22"/>
    <n v="1"/>
    <n v="700"/>
    <x v="0"/>
    <n v="1100"/>
    <n v="700"/>
    <n v="400"/>
    <n v="0.36363636363636365"/>
    <x v="1"/>
  </r>
  <r>
    <x v="59"/>
    <x v="1"/>
    <n v="12"/>
    <x v="4"/>
    <n v="28"/>
    <x v="0"/>
    <x v="1"/>
    <x v="17"/>
    <x v="0"/>
    <x v="1"/>
    <x v="27"/>
    <n v="1"/>
    <n v="580"/>
    <x v="4"/>
    <n v="920"/>
    <n v="580"/>
    <n v="340"/>
    <n v="0.36956521739130432"/>
    <x v="1"/>
  </r>
  <r>
    <x v="80"/>
    <x v="2"/>
    <n v="10"/>
    <x v="6"/>
    <n v="29"/>
    <x v="1"/>
    <x v="0"/>
    <x v="1"/>
    <x v="1"/>
    <x v="2"/>
    <x v="20"/>
    <n v="3"/>
    <n v="550"/>
    <x v="2"/>
    <n v="2550"/>
    <n v="1650"/>
    <n v="900"/>
    <n v="0.35294117647058826"/>
    <x v="1"/>
  </r>
  <r>
    <x v="34"/>
    <x v="2"/>
    <n v="10"/>
    <x v="0"/>
    <n v="29"/>
    <x v="0"/>
    <x v="1"/>
    <x v="4"/>
    <x v="0"/>
    <x v="1"/>
    <x v="16"/>
    <n v="2"/>
    <n v="900"/>
    <x v="3"/>
    <n v="2800"/>
    <n v="1800"/>
    <n v="1000"/>
    <n v="0.35714285714285715"/>
    <x v="1"/>
  </r>
  <r>
    <x v="52"/>
    <x v="2"/>
    <n v="10"/>
    <x v="5"/>
    <n v="29"/>
    <x v="1"/>
    <x v="1"/>
    <x v="23"/>
    <x v="1"/>
    <x v="2"/>
    <x v="3"/>
    <n v="1"/>
    <n v="550"/>
    <x v="2"/>
    <n v="850"/>
    <n v="550"/>
    <n v="300"/>
    <n v="0.35294117647058826"/>
    <x v="1"/>
  </r>
  <r>
    <x v="10"/>
    <x v="2"/>
    <n v="10"/>
    <x v="5"/>
    <n v="29"/>
    <x v="0"/>
    <x v="0"/>
    <x v="10"/>
    <x v="0"/>
    <x v="3"/>
    <x v="37"/>
    <n v="1"/>
    <n v="530"/>
    <x v="8"/>
    <n v="840"/>
    <n v="530"/>
    <n v="310"/>
    <n v="0.36904761904761907"/>
    <x v="1"/>
  </r>
  <r>
    <x v="53"/>
    <x v="2"/>
    <n v="10"/>
    <x v="3"/>
    <n v="29"/>
    <x v="1"/>
    <x v="5"/>
    <x v="16"/>
    <x v="0"/>
    <x v="3"/>
    <x v="36"/>
    <n v="1"/>
    <n v="500"/>
    <x v="5"/>
    <n v="800"/>
    <n v="500"/>
    <n v="300"/>
    <n v="0.375"/>
    <x v="1"/>
  </r>
  <r>
    <x v="68"/>
    <x v="2"/>
    <n v="10"/>
    <x v="1"/>
    <n v="29"/>
    <x v="0"/>
    <x v="0"/>
    <x v="1"/>
    <x v="1"/>
    <x v="0"/>
    <x v="15"/>
    <n v="3"/>
    <n v="550"/>
    <x v="2"/>
    <n v="2550"/>
    <n v="1650"/>
    <n v="900"/>
    <n v="0.35294117647058826"/>
    <x v="1"/>
  </r>
  <r>
    <x v="68"/>
    <x v="2"/>
    <n v="10"/>
    <x v="1"/>
    <n v="29"/>
    <x v="0"/>
    <x v="1"/>
    <x v="23"/>
    <x v="1"/>
    <x v="0"/>
    <x v="15"/>
    <n v="1"/>
    <n v="550"/>
    <x v="2"/>
    <n v="850"/>
    <n v="550"/>
    <n v="300"/>
    <n v="0.35294117647058826"/>
    <x v="1"/>
  </r>
  <r>
    <x v="69"/>
    <x v="2"/>
    <n v="10"/>
    <x v="5"/>
    <n v="29"/>
    <x v="1"/>
    <x v="5"/>
    <x v="16"/>
    <x v="0"/>
    <x v="3"/>
    <x v="36"/>
    <n v="1"/>
    <n v="500"/>
    <x v="5"/>
    <n v="800"/>
    <n v="500"/>
    <n v="300"/>
    <n v="0.375"/>
    <x v="1"/>
  </r>
  <r>
    <x v="69"/>
    <x v="2"/>
    <n v="10"/>
    <x v="5"/>
    <n v="29"/>
    <x v="0"/>
    <x v="4"/>
    <x v="11"/>
    <x v="0"/>
    <x v="0"/>
    <x v="0"/>
    <n v="1"/>
    <n v="700"/>
    <x v="0"/>
    <n v="1100"/>
    <n v="700"/>
    <n v="400"/>
    <n v="0.36363636363636365"/>
    <x v="1"/>
  </r>
  <r>
    <x v="75"/>
    <x v="2"/>
    <n v="10"/>
    <x v="6"/>
    <n v="29"/>
    <x v="0"/>
    <x v="5"/>
    <x v="16"/>
    <x v="0"/>
    <x v="3"/>
    <x v="23"/>
    <n v="1"/>
    <n v="530"/>
    <x v="8"/>
    <n v="840"/>
    <n v="530"/>
    <n v="310"/>
    <n v="0.36904761904761907"/>
    <x v="1"/>
  </r>
  <r>
    <x v="76"/>
    <x v="2"/>
    <n v="10"/>
    <x v="3"/>
    <n v="29"/>
    <x v="1"/>
    <x v="0"/>
    <x v="1"/>
    <x v="0"/>
    <x v="0"/>
    <x v="28"/>
    <n v="3"/>
    <n v="580"/>
    <x v="4"/>
    <n v="2760"/>
    <n v="1740"/>
    <n v="1020"/>
    <n v="0.36956521739130432"/>
    <x v="1"/>
  </r>
  <r>
    <x v="11"/>
    <x v="0"/>
    <n v="11"/>
    <x v="5"/>
    <n v="29"/>
    <x v="0"/>
    <x v="3"/>
    <x v="13"/>
    <x v="0"/>
    <x v="1"/>
    <x v="30"/>
    <n v="1"/>
    <n v="900"/>
    <x v="3"/>
    <n v="1400"/>
    <n v="900"/>
    <n v="500"/>
    <n v="0.35714285714285715"/>
    <x v="1"/>
  </r>
  <r>
    <x v="21"/>
    <x v="0"/>
    <n v="11"/>
    <x v="6"/>
    <n v="29"/>
    <x v="1"/>
    <x v="1"/>
    <x v="17"/>
    <x v="0"/>
    <x v="3"/>
    <x v="33"/>
    <n v="1"/>
    <n v="500"/>
    <x v="5"/>
    <n v="800"/>
    <n v="500"/>
    <n v="300"/>
    <n v="0.375"/>
    <x v="1"/>
  </r>
  <r>
    <x v="21"/>
    <x v="0"/>
    <n v="11"/>
    <x v="6"/>
    <n v="29"/>
    <x v="1"/>
    <x v="5"/>
    <x v="16"/>
    <x v="0"/>
    <x v="3"/>
    <x v="36"/>
    <n v="1"/>
    <n v="500"/>
    <x v="5"/>
    <n v="800"/>
    <n v="500"/>
    <n v="300"/>
    <n v="0.375"/>
    <x v="1"/>
  </r>
  <r>
    <x v="12"/>
    <x v="0"/>
    <n v="11"/>
    <x v="4"/>
    <n v="29"/>
    <x v="0"/>
    <x v="2"/>
    <x v="7"/>
    <x v="1"/>
    <x v="0"/>
    <x v="25"/>
    <n v="1"/>
    <n v="550"/>
    <x v="2"/>
    <n v="850"/>
    <n v="550"/>
    <n v="300"/>
    <n v="0.35294117647058826"/>
    <x v="1"/>
  </r>
  <r>
    <x v="55"/>
    <x v="0"/>
    <n v="11"/>
    <x v="6"/>
    <n v="29"/>
    <x v="1"/>
    <x v="2"/>
    <x v="7"/>
    <x v="1"/>
    <x v="2"/>
    <x v="40"/>
    <n v="1"/>
    <n v="550"/>
    <x v="2"/>
    <n v="850"/>
    <n v="550"/>
    <n v="300"/>
    <n v="0.35294117647058826"/>
    <x v="1"/>
  </r>
  <r>
    <x v="13"/>
    <x v="0"/>
    <n v="11"/>
    <x v="6"/>
    <n v="29"/>
    <x v="0"/>
    <x v="2"/>
    <x v="7"/>
    <x v="1"/>
    <x v="0"/>
    <x v="25"/>
    <n v="1"/>
    <n v="550"/>
    <x v="2"/>
    <n v="850"/>
    <n v="550"/>
    <n v="300"/>
    <n v="0.35294117647058826"/>
    <x v="1"/>
  </r>
  <r>
    <x v="62"/>
    <x v="0"/>
    <n v="11"/>
    <x v="4"/>
    <n v="29"/>
    <x v="0"/>
    <x v="5"/>
    <x v="16"/>
    <x v="1"/>
    <x v="0"/>
    <x v="25"/>
    <n v="2"/>
    <n v="550"/>
    <x v="2"/>
    <n v="1700"/>
    <n v="1100"/>
    <n v="600"/>
    <n v="0.35294117647058826"/>
    <x v="1"/>
  </r>
  <r>
    <x v="5"/>
    <x v="0"/>
    <n v="11"/>
    <x v="1"/>
    <n v="29"/>
    <x v="1"/>
    <x v="2"/>
    <x v="5"/>
    <x v="0"/>
    <x v="1"/>
    <x v="32"/>
    <n v="1"/>
    <n v="580"/>
    <x v="4"/>
    <n v="920"/>
    <n v="580"/>
    <n v="340"/>
    <n v="0.36956521739130432"/>
    <x v="1"/>
  </r>
  <r>
    <x v="24"/>
    <x v="0"/>
    <n v="11"/>
    <x v="2"/>
    <n v="29"/>
    <x v="1"/>
    <x v="2"/>
    <x v="7"/>
    <x v="1"/>
    <x v="2"/>
    <x v="40"/>
    <n v="3"/>
    <n v="550"/>
    <x v="2"/>
    <n v="2550"/>
    <n v="1650"/>
    <n v="900"/>
    <n v="0.35294117647058826"/>
    <x v="1"/>
  </r>
  <r>
    <x v="24"/>
    <x v="0"/>
    <n v="11"/>
    <x v="2"/>
    <n v="29"/>
    <x v="1"/>
    <x v="1"/>
    <x v="4"/>
    <x v="0"/>
    <x v="0"/>
    <x v="44"/>
    <n v="1"/>
    <n v="620"/>
    <x v="1"/>
    <n v="980"/>
    <n v="620"/>
    <n v="360"/>
    <n v="0.36734693877551022"/>
    <x v="1"/>
  </r>
  <r>
    <x v="6"/>
    <x v="0"/>
    <n v="11"/>
    <x v="3"/>
    <n v="29"/>
    <x v="0"/>
    <x v="3"/>
    <x v="13"/>
    <x v="0"/>
    <x v="1"/>
    <x v="30"/>
    <n v="2"/>
    <n v="900"/>
    <x v="3"/>
    <n v="2800"/>
    <n v="1800"/>
    <n v="1000"/>
    <n v="0.35714285714285715"/>
    <x v="1"/>
  </r>
  <r>
    <x v="56"/>
    <x v="0"/>
    <n v="11"/>
    <x v="6"/>
    <n v="29"/>
    <x v="0"/>
    <x v="1"/>
    <x v="17"/>
    <x v="0"/>
    <x v="1"/>
    <x v="8"/>
    <n v="2"/>
    <n v="580"/>
    <x v="4"/>
    <n v="1840"/>
    <n v="1160"/>
    <n v="680"/>
    <n v="0.36956521739130432"/>
    <x v="1"/>
  </r>
  <r>
    <x v="56"/>
    <x v="0"/>
    <n v="11"/>
    <x v="6"/>
    <n v="29"/>
    <x v="1"/>
    <x v="2"/>
    <x v="5"/>
    <x v="0"/>
    <x v="1"/>
    <x v="32"/>
    <n v="1"/>
    <n v="580"/>
    <x v="4"/>
    <n v="920"/>
    <n v="580"/>
    <n v="340"/>
    <n v="0.36956521739130432"/>
    <x v="1"/>
  </r>
  <r>
    <x v="7"/>
    <x v="0"/>
    <n v="11"/>
    <x v="0"/>
    <n v="29"/>
    <x v="0"/>
    <x v="1"/>
    <x v="15"/>
    <x v="0"/>
    <x v="0"/>
    <x v="39"/>
    <n v="1"/>
    <n v="620"/>
    <x v="1"/>
    <n v="980"/>
    <n v="620"/>
    <n v="360"/>
    <n v="0.36734693877551022"/>
    <x v="1"/>
  </r>
  <r>
    <x v="8"/>
    <x v="0"/>
    <n v="11"/>
    <x v="1"/>
    <n v="29"/>
    <x v="1"/>
    <x v="2"/>
    <x v="7"/>
    <x v="1"/>
    <x v="2"/>
    <x v="40"/>
    <n v="4"/>
    <n v="550"/>
    <x v="2"/>
    <n v="3400"/>
    <n v="2200"/>
    <n v="1200"/>
    <n v="0.35294117647058826"/>
    <x v="1"/>
  </r>
  <r>
    <x v="83"/>
    <x v="1"/>
    <n v="12"/>
    <x v="2"/>
    <n v="29"/>
    <x v="1"/>
    <x v="1"/>
    <x v="15"/>
    <x v="0"/>
    <x v="3"/>
    <x v="17"/>
    <n v="2"/>
    <n v="500"/>
    <x v="5"/>
    <n v="1600"/>
    <n v="1000"/>
    <n v="600"/>
    <n v="0.375"/>
    <x v="1"/>
  </r>
  <r>
    <x v="77"/>
    <x v="1"/>
    <n v="12"/>
    <x v="4"/>
    <n v="29"/>
    <x v="0"/>
    <x v="0"/>
    <x v="1"/>
    <x v="0"/>
    <x v="0"/>
    <x v="22"/>
    <n v="2"/>
    <n v="700"/>
    <x v="0"/>
    <n v="2200"/>
    <n v="1400"/>
    <n v="800"/>
    <n v="0.36363636363636365"/>
    <x v="1"/>
  </r>
  <r>
    <x v="77"/>
    <x v="1"/>
    <n v="12"/>
    <x v="4"/>
    <n v="29"/>
    <x v="0"/>
    <x v="1"/>
    <x v="23"/>
    <x v="0"/>
    <x v="1"/>
    <x v="5"/>
    <n v="1"/>
    <n v="900"/>
    <x v="3"/>
    <n v="1400"/>
    <n v="900"/>
    <n v="500"/>
    <n v="0.35714285714285715"/>
    <x v="1"/>
  </r>
  <r>
    <x v="25"/>
    <x v="1"/>
    <n v="12"/>
    <x v="1"/>
    <n v="29"/>
    <x v="0"/>
    <x v="0"/>
    <x v="2"/>
    <x v="0"/>
    <x v="0"/>
    <x v="10"/>
    <n v="1"/>
    <n v="580"/>
    <x v="4"/>
    <n v="920"/>
    <n v="580"/>
    <n v="340"/>
    <n v="0.36956521739130432"/>
    <x v="1"/>
  </r>
  <r>
    <x v="15"/>
    <x v="1"/>
    <n v="12"/>
    <x v="6"/>
    <n v="29"/>
    <x v="1"/>
    <x v="5"/>
    <x v="16"/>
    <x v="0"/>
    <x v="3"/>
    <x v="36"/>
    <n v="1"/>
    <n v="500"/>
    <x v="5"/>
    <n v="800"/>
    <n v="500"/>
    <n v="300"/>
    <n v="0.375"/>
    <x v="1"/>
  </r>
  <r>
    <x v="78"/>
    <x v="1"/>
    <n v="12"/>
    <x v="0"/>
    <n v="29"/>
    <x v="1"/>
    <x v="0"/>
    <x v="2"/>
    <x v="0"/>
    <x v="0"/>
    <x v="28"/>
    <n v="2"/>
    <n v="580"/>
    <x v="4"/>
    <n v="1840"/>
    <n v="1160"/>
    <n v="680"/>
    <n v="0.36956521739130432"/>
    <x v="1"/>
  </r>
  <r>
    <x v="49"/>
    <x v="1"/>
    <n v="12"/>
    <x v="5"/>
    <n v="29"/>
    <x v="1"/>
    <x v="2"/>
    <x v="7"/>
    <x v="1"/>
    <x v="2"/>
    <x v="40"/>
    <n v="1"/>
    <n v="550"/>
    <x v="2"/>
    <n v="850"/>
    <n v="550"/>
    <n v="300"/>
    <n v="0.35294117647058826"/>
    <x v="1"/>
  </r>
  <r>
    <x v="17"/>
    <x v="1"/>
    <n v="12"/>
    <x v="2"/>
    <n v="29"/>
    <x v="0"/>
    <x v="2"/>
    <x v="9"/>
    <x v="0"/>
    <x v="0"/>
    <x v="26"/>
    <n v="2"/>
    <n v="620"/>
    <x v="1"/>
    <n v="1960"/>
    <n v="1240"/>
    <n v="720"/>
    <n v="0.36734693877551022"/>
    <x v="1"/>
  </r>
  <r>
    <x v="79"/>
    <x v="1"/>
    <n v="12"/>
    <x v="0"/>
    <n v="29"/>
    <x v="0"/>
    <x v="4"/>
    <x v="11"/>
    <x v="1"/>
    <x v="0"/>
    <x v="45"/>
    <n v="3"/>
    <n v="480"/>
    <x v="6"/>
    <n v="2280"/>
    <n v="1440"/>
    <n v="840"/>
    <n v="0.36842105263157893"/>
    <x v="1"/>
  </r>
  <r>
    <x v="19"/>
    <x v="1"/>
    <n v="12"/>
    <x v="5"/>
    <n v="29"/>
    <x v="1"/>
    <x v="5"/>
    <x v="16"/>
    <x v="0"/>
    <x v="3"/>
    <x v="36"/>
    <n v="1"/>
    <n v="500"/>
    <x v="5"/>
    <n v="800"/>
    <n v="500"/>
    <n v="300"/>
    <n v="0.375"/>
    <x v="1"/>
  </r>
  <r>
    <x v="27"/>
    <x v="1"/>
    <n v="12"/>
    <x v="2"/>
    <n v="29"/>
    <x v="0"/>
    <x v="5"/>
    <x v="16"/>
    <x v="0"/>
    <x v="3"/>
    <x v="23"/>
    <n v="4"/>
    <n v="530"/>
    <x v="8"/>
    <n v="3360"/>
    <n v="2120"/>
    <n v="1240"/>
    <n v="0.36904761904761907"/>
    <x v="1"/>
  </r>
  <r>
    <x v="28"/>
    <x v="1"/>
    <n v="12"/>
    <x v="3"/>
    <n v="29"/>
    <x v="0"/>
    <x v="5"/>
    <x v="16"/>
    <x v="0"/>
    <x v="3"/>
    <x v="23"/>
    <n v="1"/>
    <n v="530"/>
    <x v="8"/>
    <n v="840"/>
    <n v="530"/>
    <n v="310"/>
    <n v="0.36904761904761907"/>
    <x v="1"/>
  </r>
  <r>
    <x v="51"/>
    <x v="1"/>
    <n v="12"/>
    <x v="2"/>
    <n v="29"/>
    <x v="1"/>
    <x v="0"/>
    <x v="2"/>
    <x v="0"/>
    <x v="0"/>
    <x v="28"/>
    <n v="1"/>
    <n v="580"/>
    <x v="4"/>
    <n v="920"/>
    <n v="580"/>
    <n v="340"/>
    <n v="0.36956521739130432"/>
    <x v="1"/>
  </r>
  <r>
    <x v="84"/>
    <x v="2"/>
    <n v="10"/>
    <x v="4"/>
    <n v="30"/>
    <x v="1"/>
    <x v="3"/>
    <x v="14"/>
    <x v="0"/>
    <x v="0"/>
    <x v="28"/>
    <n v="1"/>
    <n v="580"/>
    <x v="4"/>
    <n v="920"/>
    <n v="580"/>
    <n v="340"/>
    <n v="0.36956521739130432"/>
    <x v="1"/>
  </r>
  <r>
    <x v="85"/>
    <x v="2"/>
    <n v="10"/>
    <x v="1"/>
    <n v="30"/>
    <x v="0"/>
    <x v="2"/>
    <x v="5"/>
    <x v="1"/>
    <x v="2"/>
    <x v="20"/>
    <n v="4"/>
    <n v="550"/>
    <x v="2"/>
    <n v="3400"/>
    <n v="2200"/>
    <n v="1200"/>
    <n v="0.35294117647058826"/>
    <x v="1"/>
  </r>
  <r>
    <x v="52"/>
    <x v="2"/>
    <n v="10"/>
    <x v="5"/>
    <n v="30"/>
    <x v="1"/>
    <x v="2"/>
    <x v="7"/>
    <x v="1"/>
    <x v="0"/>
    <x v="46"/>
    <n v="4"/>
    <n v="480"/>
    <x v="6"/>
    <n v="3040"/>
    <n v="1920"/>
    <n v="1120"/>
    <n v="0.36842105263157893"/>
    <x v="1"/>
  </r>
  <r>
    <x v="10"/>
    <x v="2"/>
    <n v="10"/>
    <x v="5"/>
    <n v="30"/>
    <x v="0"/>
    <x v="3"/>
    <x v="13"/>
    <x v="0"/>
    <x v="1"/>
    <x v="47"/>
    <n v="1"/>
    <n v="620"/>
    <x v="1"/>
    <n v="980"/>
    <n v="620"/>
    <n v="360"/>
    <n v="0.36734693877551022"/>
    <x v="1"/>
  </r>
  <r>
    <x v="67"/>
    <x v="2"/>
    <n v="10"/>
    <x v="4"/>
    <n v="30"/>
    <x v="0"/>
    <x v="1"/>
    <x v="17"/>
    <x v="0"/>
    <x v="0"/>
    <x v="24"/>
    <n v="4"/>
    <n v="580"/>
    <x v="4"/>
    <n v="3680"/>
    <n v="2320"/>
    <n v="1360"/>
    <n v="0.36956521739130432"/>
    <x v="1"/>
  </r>
  <r>
    <x v="74"/>
    <x v="2"/>
    <n v="10"/>
    <x v="0"/>
    <n v="30"/>
    <x v="1"/>
    <x v="2"/>
    <x v="5"/>
    <x v="1"/>
    <x v="2"/>
    <x v="20"/>
    <n v="1"/>
    <n v="550"/>
    <x v="2"/>
    <n v="850"/>
    <n v="550"/>
    <n v="300"/>
    <n v="0.35294117647058826"/>
    <x v="1"/>
  </r>
  <r>
    <x v="69"/>
    <x v="2"/>
    <n v="10"/>
    <x v="5"/>
    <n v="30"/>
    <x v="0"/>
    <x v="1"/>
    <x v="21"/>
    <x v="0"/>
    <x v="1"/>
    <x v="16"/>
    <n v="3"/>
    <n v="900"/>
    <x v="3"/>
    <n v="4200"/>
    <n v="2700"/>
    <n v="1500"/>
    <n v="0.35714285714285715"/>
    <x v="1"/>
  </r>
  <r>
    <x v="60"/>
    <x v="2"/>
    <n v="10"/>
    <x v="3"/>
    <n v="30"/>
    <x v="0"/>
    <x v="3"/>
    <x v="6"/>
    <x v="0"/>
    <x v="0"/>
    <x v="0"/>
    <n v="4"/>
    <n v="700"/>
    <x v="0"/>
    <n v="4400"/>
    <n v="2800"/>
    <n v="1600"/>
    <n v="0.36363636363636365"/>
    <x v="1"/>
  </r>
  <r>
    <x v="20"/>
    <x v="2"/>
    <n v="10"/>
    <x v="4"/>
    <n v="30"/>
    <x v="1"/>
    <x v="0"/>
    <x v="1"/>
    <x v="1"/>
    <x v="2"/>
    <x v="20"/>
    <n v="1"/>
    <n v="550"/>
    <x v="2"/>
    <n v="850"/>
    <n v="550"/>
    <n v="300"/>
    <n v="0.35294117647058826"/>
    <x v="1"/>
  </r>
  <r>
    <x v="86"/>
    <x v="2"/>
    <n v="10"/>
    <x v="5"/>
    <n v="30"/>
    <x v="0"/>
    <x v="4"/>
    <x v="11"/>
    <x v="0"/>
    <x v="0"/>
    <x v="6"/>
    <n v="1"/>
    <n v="700"/>
    <x v="0"/>
    <n v="1100"/>
    <n v="700"/>
    <n v="400"/>
    <n v="0.36363636363636365"/>
    <x v="1"/>
  </r>
  <r>
    <x v="46"/>
    <x v="2"/>
    <n v="10"/>
    <x v="6"/>
    <n v="30"/>
    <x v="1"/>
    <x v="1"/>
    <x v="15"/>
    <x v="0"/>
    <x v="0"/>
    <x v="48"/>
    <n v="1"/>
    <n v="620"/>
    <x v="1"/>
    <n v="980"/>
    <n v="620"/>
    <n v="360"/>
    <n v="0.36734693877551022"/>
    <x v="1"/>
  </r>
  <r>
    <x v="3"/>
    <x v="0"/>
    <n v="11"/>
    <x v="2"/>
    <n v="30"/>
    <x v="1"/>
    <x v="2"/>
    <x v="7"/>
    <x v="1"/>
    <x v="0"/>
    <x v="46"/>
    <n v="3"/>
    <n v="480"/>
    <x v="6"/>
    <n v="2280"/>
    <n v="1440"/>
    <n v="840"/>
    <n v="0.36842105263157893"/>
    <x v="1"/>
  </r>
  <r>
    <x v="87"/>
    <x v="0"/>
    <n v="11"/>
    <x v="3"/>
    <n v="30"/>
    <x v="0"/>
    <x v="2"/>
    <x v="5"/>
    <x v="1"/>
    <x v="2"/>
    <x v="20"/>
    <n v="2"/>
    <n v="550"/>
    <x v="2"/>
    <n v="1700"/>
    <n v="1100"/>
    <n v="600"/>
    <n v="0.35294117647058826"/>
    <x v="1"/>
  </r>
  <r>
    <x v="5"/>
    <x v="0"/>
    <n v="11"/>
    <x v="1"/>
    <n v="30"/>
    <x v="1"/>
    <x v="2"/>
    <x v="7"/>
    <x v="0"/>
    <x v="0"/>
    <x v="44"/>
    <n v="4"/>
    <n v="620"/>
    <x v="1"/>
    <n v="3920"/>
    <n v="2480"/>
    <n v="1440"/>
    <n v="0.36734693877551022"/>
    <x v="1"/>
  </r>
  <r>
    <x v="8"/>
    <x v="0"/>
    <n v="11"/>
    <x v="1"/>
    <n v="30"/>
    <x v="0"/>
    <x v="2"/>
    <x v="5"/>
    <x v="0"/>
    <x v="1"/>
    <x v="2"/>
    <n v="2"/>
    <n v="620"/>
    <x v="1"/>
    <n v="1960"/>
    <n v="1240"/>
    <n v="720"/>
    <n v="0.36734693877551022"/>
    <x v="1"/>
  </r>
  <r>
    <x v="25"/>
    <x v="1"/>
    <n v="12"/>
    <x v="1"/>
    <n v="30"/>
    <x v="0"/>
    <x v="2"/>
    <x v="7"/>
    <x v="1"/>
    <x v="2"/>
    <x v="49"/>
    <n v="4"/>
    <n v="450"/>
    <x v="7"/>
    <n v="2880"/>
    <n v="1800"/>
    <n v="1080"/>
    <n v="0.375"/>
    <x v="1"/>
  </r>
  <r>
    <x v="26"/>
    <x v="1"/>
    <n v="12"/>
    <x v="5"/>
    <n v="30"/>
    <x v="1"/>
    <x v="4"/>
    <x v="11"/>
    <x v="1"/>
    <x v="2"/>
    <x v="20"/>
    <n v="4"/>
    <n v="550"/>
    <x v="2"/>
    <n v="3400"/>
    <n v="2200"/>
    <n v="1200"/>
    <n v="0.35294117647058826"/>
    <x v="1"/>
  </r>
  <r>
    <x v="26"/>
    <x v="1"/>
    <n v="12"/>
    <x v="5"/>
    <n v="30"/>
    <x v="1"/>
    <x v="0"/>
    <x v="2"/>
    <x v="0"/>
    <x v="3"/>
    <x v="23"/>
    <n v="1"/>
    <n v="530"/>
    <x v="8"/>
    <n v="840"/>
    <n v="530"/>
    <n v="310"/>
    <n v="0.36904761904761907"/>
    <x v="1"/>
  </r>
  <r>
    <x v="88"/>
    <x v="1"/>
    <n v="12"/>
    <x v="1"/>
    <n v="30"/>
    <x v="1"/>
    <x v="2"/>
    <x v="5"/>
    <x v="1"/>
    <x v="2"/>
    <x v="20"/>
    <n v="2"/>
    <n v="550"/>
    <x v="2"/>
    <n v="1700"/>
    <n v="1100"/>
    <n v="600"/>
    <n v="0.35294117647058826"/>
    <x v="1"/>
  </r>
  <r>
    <x v="88"/>
    <x v="1"/>
    <n v="12"/>
    <x v="1"/>
    <n v="30"/>
    <x v="0"/>
    <x v="1"/>
    <x v="17"/>
    <x v="0"/>
    <x v="0"/>
    <x v="24"/>
    <n v="2"/>
    <n v="580"/>
    <x v="4"/>
    <n v="1840"/>
    <n v="1160"/>
    <n v="680"/>
    <n v="0.36956521739130432"/>
    <x v="1"/>
  </r>
  <r>
    <x v="19"/>
    <x v="1"/>
    <n v="12"/>
    <x v="5"/>
    <n v="30"/>
    <x v="1"/>
    <x v="2"/>
    <x v="5"/>
    <x v="1"/>
    <x v="2"/>
    <x v="20"/>
    <n v="3"/>
    <n v="550"/>
    <x v="2"/>
    <n v="2550"/>
    <n v="1650"/>
    <n v="900"/>
    <n v="0.35294117647058826"/>
    <x v="1"/>
  </r>
  <r>
    <x v="27"/>
    <x v="1"/>
    <n v="12"/>
    <x v="2"/>
    <n v="30"/>
    <x v="1"/>
    <x v="2"/>
    <x v="9"/>
    <x v="1"/>
    <x v="2"/>
    <x v="40"/>
    <n v="1"/>
    <n v="550"/>
    <x v="2"/>
    <n v="850"/>
    <n v="550"/>
    <n v="300"/>
    <n v="0.35294117647058826"/>
    <x v="1"/>
  </r>
  <r>
    <x v="59"/>
    <x v="1"/>
    <n v="12"/>
    <x v="4"/>
    <n v="30"/>
    <x v="0"/>
    <x v="2"/>
    <x v="7"/>
    <x v="1"/>
    <x v="2"/>
    <x v="49"/>
    <n v="2"/>
    <n v="450"/>
    <x v="7"/>
    <n v="1440"/>
    <n v="900"/>
    <n v="540"/>
    <n v="0.375"/>
    <x v="1"/>
  </r>
  <r>
    <x v="29"/>
    <x v="1"/>
    <n v="12"/>
    <x v="1"/>
    <n v="30"/>
    <x v="1"/>
    <x v="2"/>
    <x v="5"/>
    <x v="1"/>
    <x v="2"/>
    <x v="20"/>
    <n v="2"/>
    <n v="550"/>
    <x v="2"/>
    <n v="1700"/>
    <n v="1100"/>
    <n v="600"/>
    <n v="0.35294117647058826"/>
    <x v="1"/>
  </r>
  <r>
    <x v="42"/>
    <x v="1"/>
    <n v="12"/>
    <x v="5"/>
    <n v="30"/>
    <x v="0"/>
    <x v="1"/>
    <x v="22"/>
    <x v="0"/>
    <x v="3"/>
    <x v="36"/>
    <n v="2"/>
    <n v="500"/>
    <x v="5"/>
    <n v="1600"/>
    <n v="1000"/>
    <n v="600"/>
    <n v="0.375"/>
    <x v="1"/>
  </r>
  <r>
    <x v="51"/>
    <x v="1"/>
    <n v="12"/>
    <x v="2"/>
    <n v="30"/>
    <x v="0"/>
    <x v="0"/>
    <x v="0"/>
    <x v="0"/>
    <x v="1"/>
    <x v="16"/>
    <n v="1"/>
    <n v="900"/>
    <x v="3"/>
    <n v="1400"/>
    <n v="900"/>
    <n v="500"/>
    <n v="0.35714285714285715"/>
    <x v="1"/>
  </r>
  <r>
    <x v="35"/>
    <x v="2"/>
    <n v="10"/>
    <x v="3"/>
    <n v="31"/>
    <x v="1"/>
    <x v="3"/>
    <x v="13"/>
    <x v="0"/>
    <x v="0"/>
    <x v="28"/>
    <n v="3"/>
    <n v="580"/>
    <x v="4"/>
    <n v="2760"/>
    <n v="1740"/>
    <n v="1020"/>
    <n v="0.36956521739130432"/>
    <x v="1"/>
  </r>
  <r>
    <x v="10"/>
    <x v="2"/>
    <n v="10"/>
    <x v="5"/>
    <n v="31"/>
    <x v="1"/>
    <x v="2"/>
    <x v="7"/>
    <x v="1"/>
    <x v="0"/>
    <x v="25"/>
    <n v="1"/>
    <n v="550"/>
    <x v="2"/>
    <n v="850"/>
    <n v="550"/>
    <n v="300"/>
    <n v="0.35294117647058826"/>
    <x v="1"/>
  </r>
  <r>
    <x v="81"/>
    <x v="2"/>
    <n v="10"/>
    <x v="2"/>
    <n v="31"/>
    <x v="0"/>
    <x v="3"/>
    <x v="6"/>
    <x v="0"/>
    <x v="1"/>
    <x v="34"/>
    <n v="1"/>
    <n v="580"/>
    <x v="4"/>
    <n v="920"/>
    <n v="580"/>
    <n v="340"/>
    <n v="0.36956521739130432"/>
    <x v="1"/>
  </r>
  <r>
    <x v="68"/>
    <x v="2"/>
    <n v="10"/>
    <x v="1"/>
    <n v="31"/>
    <x v="1"/>
    <x v="2"/>
    <x v="5"/>
    <x v="1"/>
    <x v="2"/>
    <x v="20"/>
    <n v="1"/>
    <n v="550"/>
    <x v="2"/>
    <n v="850"/>
    <n v="550"/>
    <n v="300"/>
    <n v="0.35294117647058826"/>
    <x v="1"/>
  </r>
  <r>
    <x v="68"/>
    <x v="2"/>
    <n v="10"/>
    <x v="1"/>
    <n v="31"/>
    <x v="0"/>
    <x v="0"/>
    <x v="0"/>
    <x v="0"/>
    <x v="3"/>
    <x v="35"/>
    <n v="1"/>
    <n v="500"/>
    <x v="5"/>
    <n v="800"/>
    <n v="500"/>
    <n v="300"/>
    <n v="0.375"/>
    <x v="1"/>
  </r>
  <r>
    <x v="44"/>
    <x v="2"/>
    <n v="10"/>
    <x v="0"/>
    <n v="31"/>
    <x v="1"/>
    <x v="0"/>
    <x v="0"/>
    <x v="1"/>
    <x v="0"/>
    <x v="15"/>
    <n v="4"/>
    <n v="550"/>
    <x v="2"/>
    <n v="3400"/>
    <n v="2200"/>
    <n v="1200"/>
    <n v="0.35294117647058826"/>
    <x v="1"/>
  </r>
  <r>
    <x v="36"/>
    <x v="2"/>
    <n v="10"/>
    <x v="2"/>
    <n v="31"/>
    <x v="0"/>
    <x v="3"/>
    <x v="8"/>
    <x v="0"/>
    <x v="0"/>
    <x v="22"/>
    <n v="3"/>
    <n v="700"/>
    <x v="0"/>
    <n v="3300"/>
    <n v="2100"/>
    <n v="1200"/>
    <n v="0.36363636363636365"/>
    <x v="1"/>
  </r>
  <r>
    <x v="54"/>
    <x v="0"/>
    <n v="11"/>
    <x v="3"/>
    <n v="31"/>
    <x v="1"/>
    <x v="2"/>
    <x v="9"/>
    <x v="0"/>
    <x v="1"/>
    <x v="30"/>
    <n v="1"/>
    <n v="900"/>
    <x v="3"/>
    <n v="1400"/>
    <n v="900"/>
    <n v="500"/>
    <n v="0.35714285714285715"/>
    <x v="1"/>
  </r>
  <r>
    <x v="39"/>
    <x v="0"/>
    <n v="11"/>
    <x v="3"/>
    <n v="31"/>
    <x v="0"/>
    <x v="5"/>
    <x v="16"/>
    <x v="0"/>
    <x v="3"/>
    <x v="37"/>
    <n v="1"/>
    <n v="530"/>
    <x v="8"/>
    <n v="840"/>
    <n v="530"/>
    <n v="310"/>
    <n v="0.36904761904761907"/>
    <x v="1"/>
  </r>
  <r>
    <x v="32"/>
    <x v="0"/>
    <n v="11"/>
    <x v="4"/>
    <n v="31"/>
    <x v="0"/>
    <x v="2"/>
    <x v="5"/>
    <x v="0"/>
    <x v="0"/>
    <x v="50"/>
    <n v="1"/>
    <n v="620"/>
    <x v="1"/>
    <n v="980"/>
    <n v="620"/>
    <n v="360"/>
    <n v="0.36734693877551022"/>
    <x v="1"/>
  </r>
  <r>
    <x v="33"/>
    <x v="1"/>
    <n v="12"/>
    <x v="5"/>
    <n v="31"/>
    <x v="1"/>
    <x v="0"/>
    <x v="10"/>
    <x v="0"/>
    <x v="0"/>
    <x v="24"/>
    <n v="1"/>
    <n v="580"/>
    <x v="4"/>
    <n v="920"/>
    <n v="580"/>
    <n v="340"/>
    <n v="0.36956521739130432"/>
    <x v="1"/>
  </r>
  <r>
    <x v="83"/>
    <x v="1"/>
    <n v="12"/>
    <x v="2"/>
    <n v="31"/>
    <x v="1"/>
    <x v="0"/>
    <x v="1"/>
    <x v="1"/>
    <x v="2"/>
    <x v="13"/>
    <n v="1"/>
    <n v="450"/>
    <x v="7"/>
    <n v="720"/>
    <n v="450"/>
    <n v="270"/>
    <n v="0.375"/>
    <x v="1"/>
  </r>
  <r>
    <x v="83"/>
    <x v="1"/>
    <n v="12"/>
    <x v="2"/>
    <n v="31"/>
    <x v="1"/>
    <x v="2"/>
    <x v="7"/>
    <x v="0"/>
    <x v="0"/>
    <x v="9"/>
    <n v="1"/>
    <n v="620"/>
    <x v="1"/>
    <n v="980"/>
    <n v="620"/>
    <n v="360"/>
    <n v="0.36734693877551022"/>
    <x v="1"/>
  </r>
  <r>
    <x v="57"/>
    <x v="1"/>
    <n v="12"/>
    <x v="3"/>
    <n v="31"/>
    <x v="1"/>
    <x v="2"/>
    <x v="7"/>
    <x v="0"/>
    <x v="0"/>
    <x v="9"/>
    <n v="4"/>
    <n v="620"/>
    <x v="1"/>
    <n v="3920"/>
    <n v="2480"/>
    <n v="1440"/>
    <n v="0.36734693877551022"/>
    <x v="1"/>
  </r>
  <r>
    <x v="41"/>
    <x v="1"/>
    <n v="12"/>
    <x v="6"/>
    <n v="31"/>
    <x v="1"/>
    <x v="0"/>
    <x v="1"/>
    <x v="1"/>
    <x v="2"/>
    <x v="13"/>
    <n v="4"/>
    <n v="450"/>
    <x v="7"/>
    <n v="2880"/>
    <n v="1800"/>
    <n v="1080"/>
    <n v="0.375"/>
    <x v="1"/>
  </r>
  <r>
    <x v="18"/>
    <x v="1"/>
    <n v="12"/>
    <x v="3"/>
    <n v="31"/>
    <x v="0"/>
    <x v="0"/>
    <x v="1"/>
    <x v="1"/>
    <x v="2"/>
    <x v="13"/>
    <n v="1"/>
    <n v="450"/>
    <x v="7"/>
    <n v="720"/>
    <n v="450"/>
    <n v="270"/>
    <n v="0.375"/>
    <x v="1"/>
  </r>
  <r>
    <x v="27"/>
    <x v="1"/>
    <n v="12"/>
    <x v="2"/>
    <n v="31"/>
    <x v="1"/>
    <x v="4"/>
    <x v="11"/>
    <x v="1"/>
    <x v="0"/>
    <x v="41"/>
    <n v="1"/>
    <n v="550"/>
    <x v="2"/>
    <n v="850"/>
    <n v="550"/>
    <n v="300"/>
    <n v="0.35294117647058826"/>
    <x v="1"/>
  </r>
  <r>
    <x v="63"/>
    <x v="1"/>
    <n v="12"/>
    <x v="6"/>
    <n v="31"/>
    <x v="0"/>
    <x v="5"/>
    <x v="16"/>
    <x v="0"/>
    <x v="3"/>
    <x v="37"/>
    <n v="4"/>
    <n v="530"/>
    <x v="8"/>
    <n v="3360"/>
    <n v="2120"/>
    <n v="1240"/>
    <n v="0.36904761904761907"/>
    <x v="1"/>
  </r>
  <r>
    <x v="29"/>
    <x v="1"/>
    <n v="12"/>
    <x v="1"/>
    <n v="31"/>
    <x v="0"/>
    <x v="0"/>
    <x v="1"/>
    <x v="1"/>
    <x v="2"/>
    <x v="13"/>
    <n v="3"/>
    <n v="450"/>
    <x v="7"/>
    <n v="2160"/>
    <n v="1350"/>
    <n v="810"/>
    <n v="0.375"/>
    <x v="1"/>
  </r>
  <r>
    <x v="52"/>
    <x v="2"/>
    <n v="10"/>
    <x v="5"/>
    <n v="32"/>
    <x v="1"/>
    <x v="2"/>
    <x v="5"/>
    <x v="1"/>
    <x v="0"/>
    <x v="25"/>
    <n v="3"/>
    <n v="550"/>
    <x v="2"/>
    <n v="2550"/>
    <n v="1650"/>
    <n v="900"/>
    <n v="0.35294117647058826"/>
    <x v="1"/>
  </r>
  <r>
    <x v="89"/>
    <x v="2"/>
    <n v="10"/>
    <x v="2"/>
    <n v="32"/>
    <x v="1"/>
    <x v="0"/>
    <x v="2"/>
    <x v="1"/>
    <x v="2"/>
    <x v="40"/>
    <n v="3"/>
    <n v="550"/>
    <x v="2"/>
    <n v="2550"/>
    <n v="1650"/>
    <n v="900"/>
    <n v="0.35294117647058826"/>
    <x v="1"/>
  </r>
  <r>
    <x v="66"/>
    <x v="2"/>
    <n v="10"/>
    <x v="1"/>
    <n v="32"/>
    <x v="1"/>
    <x v="1"/>
    <x v="4"/>
    <x v="0"/>
    <x v="1"/>
    <x v="43"/>
    <n v="1"/>
    <n v="900"/>
    <x v="3"/>
    <n v="1400"/>
    <n v="900"/>
    <n v="500"/>
    <n v="0.35714285714285715"/>
    <x v="1"/>
  </r>
  <r>
    <x v="10"/>
    <x v="2"/>
    <n v="10"/>
    <x v="5"/>
    <n v="32"/>
    <x v="0"/>
    <x v="2"/>
    <x v="9"/>
    <x v="0"/>
    <x v="0"/>
    <x v="6"/>
    <n v="2"/>
    <n v="700"/>
    <x v="0"/>
    <n v="2200"/>
    <n v="1400"/>
    <n v="800"/>
    <n v="0.36363636363636365"/>
    <x v="1"/>
  </r>
  <r>
    <x v="43"/>
    <x v="2"/>
    <n v="10"/>
    <x v="2"/>
    <n v="32"/>
    <x v="1"/>
    <x v="0"/>
    <x v="1"/>
    <x v="1"/>
    <x v="2"/>
    <x v="51"/>
    <n v="1"/>
    <n v="450"/>
    <x v="7"/>
    <n v="720"/>
    <n v="450"/>
    <n v="270"/>
    <n v="0.375"/>
    <x v="1"/>
  </r>
  <r>
    <x v="43"/>
    <x v="2"/>
    <n v="10"/>
    <x v="2"/>
    <n v="32"/>
    <x v="1"/>
    <x v="0"/>
    <x v="0"/>
    <x v="1"/>
    <x v="2"/>
    <x v="31"/>
    <n v="1"/>
    <n v="450"/>
    <x v="7"/>
    <n v="720"/>
    <n v="450"/>
    <n v="270"/>
    <n v="0.375"/>
    <x v="1"/>
  </r>
  <r>
    <x v="60"/>
    <x v="2"/>
    <n v="10"/>
    <x v="3"/>
    <n v="32"/>
    <x v="0"/>
    <x v="3"/>
    <x v="14"/>
    <x v="0"/>
    <x v="0"/>
    <x v="14"/>
    <n v="3"/>
    <n v="580"/>
    <x v="4"/>
    <n v="2760"/>
    <n v="1740"/>
    <n v="1020"/>
    <n v="0.36956521739130432"/>
    <x v="1"/>
  </r>
  <r>
    <x v="60"/>
    <x v="2"/>
    <n v="10"/>
    <x v="3"/>
    <n v="32"/>
    <x v="1"/>
    <x v="2"/>
    <x v="7"/>
    <x v="1"/>
    <x v="2"/>
    <x v="3"/>
    <n v="1"/>
    <n v="550"/>
    <x v="2"/>
    <n v="850"/>
    <n v="550"/>
    <n v="300"/>
    <n v="0.35294117647058826"/>
    <x v="1"/>
  </r>
  <r>
    <x v="44"/>
    <x v="2"/>
    <n v="10"/>
    <x v="0"/>
    <n v="32"/>
    <x v="1"/>
    <x v="2"/>
    <x v="7"/>
    <x v="1"/>
    <x v="2"/>
    <x v="3"/>
    <n v="4"/>
    <n v="550"/>
    <x v="2"/>
    <n v="3400"/>
    <n v="2200"/>
    <n v="1200"/>
    <n v="0.35294117647058826"/>
    <x v="1"/>
  </r>
  <r>
    <x v="45"/>
    <x v="2"/>
    <n v="10"/>
    <x v="1"/>
    <n v="32"/>
    <x v="0"/>
    <x v="1"/>
    <x v="15"/>
    <x v="0"/>
    <x v="1"/>
    <x v="16"/>
    <n v="1"/>
    <n v="900"/>
    <x v="3"/>
    <n v="1400"/>
    <n v="900"/>
    <n v="500"/>
    <n v="0.35714285714285715"/>
    <x v="1"/>
  </r>
  <r>
    <x v="76"/>
    <x v="2"/>
    <n v="10"/>
    <x v="3"/>
    <n v="32"/>
    <x v="1"/>
    <x v="0"/>
    <x v="2"/>
    <x v="1"/>
    <x v="2"/>
    <x v="40"/>
    <n v="2"/>
    <n v="550"/>
    <x v="2"/>
    <n v="1700"/>
    <n v="1100"/>
    <n v="600"/>
    <n v="0.35294117647058826"/>
    <x v="1"/>
  </r>
  <r>
    <x v="76"/>
    <x v="2"/>
    <n v="10"/>
    <x v="3"/>
    <n v="32"/>
    <x v="0"/>
    <x v="0"/>
    <x v="2"/>
    <x v="0"/>
    <x v="3"/>
    <x v="29"/>
    <n v="1"/>
    <n v="530"/>
    <x v="8"/>
    <n v="840"/>
    <n v="530"/>
    <n v="310"/>
    <n v="0.36904761904761907"/>
    <x v="1"/>
  </r>
  <r>
    <x v="37"/>
    <x v="2"/>
    <n v="10"/>
    <x v="4"/>
    <n v="32"/>
    <x v="1"/>
    <x v="3"/>
    <x v="14"/>
    <x v="0"/>
    <x v="0"/>
    <x v="28"/>
    <n v="1"/>
    <n v="580"/>
    <x v="4"/>
    <n v="920"/>
    <n v="580"/>
    <n v="340"/>
    <n v="0.36956521739130432"/>
    <x v="1"/>
  </r>
  <r>
    <x v="62"/>
    <x v="0"/>
    <n v="11"/>
    <x v="4"/>
    <n v="32"/>
    <x v="1"/>
    <x v="3"/>
    <x v="13"/>
    <x v="0"/>
    <x v="1"/>
    <x v="4"/>
    <n v="4"/>
    <n v="900"/>
    <x v="3"/>
    <n v="5600"/>
    <n v="3600"/>
    <n v="2000"/>
    <n v="0.35714285714285715"/>
    <x v="1"/>
  </r>
  <r>
    <x v="14"/>
    <x v="0"/>
    <n v="11"/>
    <x v="0"/>
    <n v="32"/>
    <x v="1"/>
    <x v="2"/>
    <x v="7"/>
    <x v="0"/>
    <x v="1"/>
    <x v="52"/>
    <n v="1"/>
    <n v="620"/>
    <x v="1"/>
    <n v="980"/>
    <n v="620"/>
    <n v="360"/>
    <n v="0.36734693877551022"/>
    <x v="1"/>
  </r>
  <r>
    <x v="78"/>
    <x v="1"/>
    <n v="12"/>
    <x v="0"/>
    <n v="32"/>
    <x v="1"/>
    <x v="0"/>
    <x v="2"/>
    <x v="1"/>
    <x v="2"/>
    <x v="40"/>
    <n v="3"/>
    <n v="550"/>
    <x v="2"/>
    <n v="2550"/>
    <n v="1650"/>
    <n v="900"/>
    <n v="0.35294117647058826"/>
    <x v="1"/>
  </r>
  <r>
    <x v="88"/>
    <x v="1"/>
    <n v="12"/>
    <x v="1"/>
    <n v="32"/>
    <x v="0"/>
    <x v="1"/>
    <x v="15"/>
    <x v="0"/>
    <x v="1"/>
    <x v="16"/>
    <n v="3"/>
    <n v="900"/>
    <x v="3"/>
    <n v="4200"/>
    <n v="2700"/>
    <n v="1500"/>
    <n v="0.35714285714285715"/>
    <x v="1"/>
  </r>
  <r>
    <x v="88"/>
    <x v="1"/>
    <n v="12"/>
    <x v="1"/>
    <n v="32"/>
    <x v="0"/>
    <x v="1"/>
    <x v="23"/>
    <x v="0"/>
    <x v="3"/>
    <x v="17"/>
    <n v="3"/>
    <n v="500"/>
    <x v="5"/>
    <n v="2400"/>
    <n v="1500"/>
    <n v="900"/>
    <n v="0.375"/>
    <x v="1"/>
  </r>
  <r>
    <x v="88"/>
    <x v="1"/>
    <n v="12"/>
    <x v="1"/>
    <n v="32"/>
    <x v="0"/>
    <x v="2"/>
    <x v="7"/>
    <x v="1"/>
    <x v="0"/>
    <x v="15"/>
    <n v="1"/>
    <n v="550"/>
    <x v="2"/>
    <n v="850"/>
    <n v="550"/>
    <n v="300"/>
    <n v="0.35294117647058826"/>
    <x v="1"/>
  </r>
  <r>
    <x v="88"/>
    <x v="1"/>
    <n v="12"/>
    <x v="1"/>
    <n v="32"/>
    <x v="1"/>
    <x v="0"/>
    <x v="0"/>
    <x v="1"/>
    <x v="2"/>
    <x v="31"/>
    <n v="1"/>
    <n v="450"/>
    <x v="7"/>
    <n v="720"/>
    <n v="450"/>
    <n v="270"/>
    <n v="0.375"/>
    <x v="1"/>
  </r>
  <r>
    <x v="17"/>
    <x v="1"/>
    <n v="12"/>
    <x v="2"/>
    <n v="32"/>
    <x v="0"/>
    <x v="1"/>
    <x v="15"/>
    <x v="0"/>
    <x v="1"/>
    <x v="16"/>
    <n v="1"/>
    <n v="900"/>
    <x v="3"/>
    <n v="1400"/>
    <n v="900"/>
    <n v="500"/>
    <n v="0.35714285714285715"/>
    <x v="1"/>
  </r>
  <r>
    <x v="64"/>
    <x v="1"/>
    <n v="12"/>
    <x v="3"/>
    <n v="32"/>
    <x v="0"/>
    <x v="1"/>
    <x v="17"/>
    <x v="0"/>
    <x v="1"/>
    <x v="4"/>
    <n v="4"/>
    <n v="900"/>
    <x v="3"/>
    <n v="5600"/>
    <n v="3600"/>
    <n v="2000"/>
    <n v="0.35714285714285715"/>
    <x v="1"/>
  </r>
  <r>
    <x v="67"/>
    <x v="2"/>
    <n v="10"/>
    <x v="4"/>
    <n v="33"/>
    <x v="0"/>
    <x v="3"/>
    <x v="6"/>
    <x v="0"/>
    <x v="1"/>
    <x v="5"/>
    <n v="2"/>
    <n v="900"/>
    <x v="3"/>
    <n v="2800"/>
    <n v="1800"/>
    <n v="1000"/>
    <n v="0.35714285714285715"/>
    <x v="1"/>
  </r>
  <r>
    <x v="46"/>
    <x v="2"/>
    <n v="10"/>
    <x v="6"/>
    <n v="33"/>
    <x v="1"/>
    <x v="0"/>
    <x v="0"/>
    <x v="0"/>
    <x v="0"/>
    <x v="14"/>
    <n v="4"/>
    <n v="580"/>
    <x v="4"/>
    <n v="3680"/>
    <n v="2320"/>
    <n v="1360"/>
    <n v="0.36956521739130432"/>
    <x v="1"/>
  </r>
  <r>
    <x v="46"/>
    <x v="2"/>
    <n v="10"/>
    <x v="6"/>
    <n v="33"/>
    <x v="1"/>
    <x v="1"/>
    <x v="21"/>
    <x v="0"/>
    <x v="1"/>
    <x v="43"/>
    <n v="3"/>
    <n v="900"/>
    <x v="3"/>
    <n v="4200"/>
    <n v="2700"/>
    <n v="1500"/>
    <n v="0.35714285714285715"/>
    <x v="1"/>
  </r>
  <r>
    <x v="61"/>
    <x v="0"/>
    <n v="11"/>
    <x v="1"/>
    <n v="33"/>
    <x v="1"/>
    <x v="1"/>
    <x v="23"/>
    <x v="0"/>
    <x v="3"/>
    <x v="17"/>
    <n v="4"/>
    <n v="500"/>
    <x v="5"/>
    <n v="3200"/>
    <n v="2000"/>
    <n v="1200"/>
    <n v="0.375"/>
    <x v="1"/>
  </r>
  <r>
    <x v="31"/>
    <x v="0"/>
    <n v="11"/>
    <x v="1"/>
    <n v="33"/>
    <x v="1"/>
    <x v="2"/>
    <x v="7"/>
    <x v="1"/>
    <x v="0"/>
    <x v="41"/>
    <n v="1"/>
    <n v="550"/>
    <x v="2"/>
    <n v="850"/>
    <n v="550"/>
    <n v="300"/>
    <n v="0.35294117647058826"/>
    <x v="1"/>
  </r>
  <r>
    <x v="87"/>
    <x v="0"/>
    <n v="11"/>
    <x v="3"/>
    <n v="33"/>
    <x v="0"/>
    <x v="2"/>
    <x v="7"/>
    <x v="1"/>
    <x v="2"/>
    <x v="40"/>
    <n v="4"/>
    <n v="550"/>
    <x v="2"/>
    <n v="3400"/>
    <n v="2200"/>
    <n v="1200"/>
    <n v="0.35294117647058826"/>
    <x v="1"/>
  </r>
  <r>
    <x v="40"/>
    <x v="0"/>
    <n v="11"/>
    <x v="5"/>
    <n v="33"/>
    <x v="1"/>
    <x v="2"/>
    <x v="9"/>
    <x v="0"/>
    <x v="3"/>
    <x v="36"/>
    <n v="1"/>
    <n v="500"/>
    <x v="5"/>
    <n v="800"/>
    <n v="500"/>
    <n v="300"/>
    <n v="0.375"/>
    <x v="1"/>
  </r>
  <r>
    <x v="25"/>
    <x v="1"/>
    <n v="12"/>
    <x v="1"/>
    <n v="33"/>
    <x v="0"/>
    <x v="1"/>
    <x v="24"/>
    <x v="0"/>
    <x v="0"/>
    <x v="24"/>
    <n v="1"/>
    <n v="580"/>
    <x v="4"/>
    <n v="920"/>
    <n v="580"/>
    <n v="340"/>
    <n v="0.36956521739130432"/>
    <x v="1"/>
  </r>
  <r>
    <x v="70"/>
    <x v="1"/>
    <n v="12"/>
    <x v="2"/>
    <n v="33"/>
    <x v="1"/>
    <x v="0"/>
    <x v="0"/>
    <x v="1"/>
    <x v="0"/>
    <x v="53"/>
    <n v="2"/>
    <n v="400"/>
    <x v="9"/>
    <n v="1300"/>
    <n v="800"/>
    <n v="500"/>
    <n v="0.38461538461538464"/>
    <x v="1"/>
  </r>
  <r>
    <x v="16"/>
    <x v="1"/>
    <n v="12"/>
    <x v="4"/>
    <n v="33"/>
    <x v="1"/>
    <x v="5"/>
    <x v="16"/>
    <x v="0"/>
    <x v="3"/>
    <x v="23"/>
    <n v="3"/>
    <n v="530"/>
    <x v="8"/>
    <n v="2520"/>
    <n v="1590"/>
    <n v="930"/>
    <n v="0.36904761904761907"/>
    <x v="1"/>
  </r>
  <r>
    <x v="16"/>
    <x v="1"/>
    <n v="12"/>
    <x v="4"/>
    <n v="33"/>
    <x v="0"/>
    <x v="3"/>
    <x v="13"/>
    <x v="0"/>
    <x v="1"/>
    <x v="27"/>
    <n v="1"/>
    <n v="580"/>
    <x v="4"/>
    <n v="920"/>
    <n v="580"/>
    <n v="340"/>
    <n v="0.36956521739130432"/>
    <x v="1"/>
  </r>
  <r>
    <x v="88"/>
    <x v="1"/>
    <n v="12"/>
    <x v="1"/>
    <n v="33"/>
    <x v="1"/>
    <x v="3"/>
    <x v="8"/>
    <x v="0"/>
    <x v="1"/>
    <x v="4"/>
    <n v="4"/>
    <n v="900"/>
    <x v="3"/>
    <n v="5600"/>
    <n v="3600"/>
    <n v="2000"/>
    <n v="0.35714285714285715"/>
    <x v="1"/>
  </r>
  <r>
    <x v="17"/>
    <x v="1"/>
    <n v="12"/>
    <x v="2"/>
    <n v="33"/>
    <x v="1"/>
    <x v="0"/>
    <x v="1"/>
    <x v="1"/>
    <x v="0"/>
    <x v="25"/>
    <n v="2"/>
    <n v="550"/>
    <x v="2"/>
    <n v="1700"/>
    <n v="1100"/>
    <n v="600"/>
    <n v="0.35294117647058826"/>
    <x v="1"/>
  </r>
  <r>
    <x v="79"/>
    <x v="1"/>
    <n v="12"/>
    <x v="0"/>
    <n v="33"/>
    <x v="1"/>
    <x v="0"/>
    <x v="0"/>
    <x v="1"/>
    <x v="0"/>
    <x v="53"/>
    <n v="4"/>
    <n v="400"/>
    <x v="9"/>
    <n v="2600"/>
    <n v="1600"/>
    <n v="1000"/>
    <n v="0.38461538461538464"/>
    <x v="1"/>
  </r>
  <r>
    <x v="79"/>
    <x v="1"/>
    <n v="12"/>
    <x v="0"/>
    <n v="33"/>
    <x v="0"/>
    <x v="1"/>
    <x v="28"/>
    <x v="0"/>
    <x v="0"/>
    <x v="10"/>
    <n v="3"/>
    <n v="580"/>
    <x v="4"/>
    <n v="2760"/>
    <n v="1740"/>
    <n v="1020"/>
    <n v="0.36956521739130432"/>
    <x v="1"/>
  </r>
  <r>
    <x v="64"/>
    <x v="1"/>
    <n v="12"/>
    <x v="3"/>
    <n v="33"/>
    <x v="1"/>
    <x v="0"/>
    <x v="1"/>
    <x v="1"/>
    <x v="0"/>
    <x v="25"/>
    <n v="1"/>
    <n v="550"/>
    <x v="2"/>
    <n v="850"/>
    <n v="550"/>
    <n v="300"/>
    <n v="0.35294117647058826"/>
    <x v="1"/>
  </r>
  <r>
    <x v="84"/>
    <x v="2"/>
    <n v="10"/>
    <x v="4"/>
    <n v="34"/>
    <x v="1"/>
    <x v="0"/>
    <x v="1"/>
    <x v="0"/>
    <x v="0"/>
    <x v="28"/>
    <n v="4"/>
    <n v="580"/>
    <x v="4"/>
    <n v="3680"/>
    <n v="2320"/>
    <n v="1360"/>
    <n v="0.36956521739130432"/>
    <x v="1"/>
  </r>
  <r>
    <x v="54"/>
    <x v="0"/>
    <n v="11"/>
    <x v="3"/>
    <n v="34"/>
    <x v="1"/>
    <x v="3"/>
    <x v="8"/>
    <x v="0"/>
    <x v="0"/>
    <x v="0"/>
    <n v="1"/>
    <n v="700"/>
    <x v="0"/>
    <n v="1100"/>
    <n v="700"/>
    <n v="400"/>
    <n v="0.36363636363636365"/>
    <x v="1"/>
  </r>
  <r>
    <x v="30"/>
    <x v="0"/>
    <n v="11"/>
    <x v="5"/>
    <n v="34"/>
    <x v="0"/>
    <x v="3"/>
    <x v="12"/>
    <x v="1"/>
    <x v="2"/>
    <x v="13"/>
    <n v="1"/>
    <n v="450"/>
    <x v="7"/>
    <n v="720"/>
    <n v="450"/>
    <n v="270"/>
    <n v="0.375"/>
    <x v="1"/>
  </r>
  <r>
    <x v="3"/>
    <x v="0"/>
    <n v="11"/>
    <x v="2"/>
    <n v="34"/>
    <x v="1"/>
    <x v="3"/>
    <x v="14"/>
    <x v="0"/>
    <x v="3"/>
    <x v="37"/>
    <n v="4"/>
    <n v="530"/>
    <x v="8"/>
    <n v="3360"/>
    <n v="2120"/>
    <n v="1240"/>
    <n v="0.36904761904761907"/>
    <x v="1"/>
  </r>
  <r>
    <x v="23"/>
    <x v="0"/>
    <n v="11"/>
    <x v="0"/>
    <n v="34"/>
    <x v="1"/>
    <x v="2"/>
    <x v="7"/>
    <x v="0"/>
    <x v="0"/>
    <x v="10"/>
    <n v="1"/>
    <n v="580"/>
    <x v="4"/>
    <n v="920"/>
    <n v="580"/>
    <n v="340"/>
    <n v="0.36956521739130432"/>
    <x v="1"/>
  </r>
  <r>
    <x v="38"/>
    <x v="0"/>
    <n v="11"/>
    <x v="5"/>
    <n v="34"/>
    <x v="1"/>
    <x v="3"/>
    <x v="8"/>
    <x v="0"/>
    <x v="0"/>
    <x v="0"/>
    <n v="1"/>
    <n v="700"/>
    <x v="0"/>
    <n v="1100"/>
    <n v="700"/>
    <n v="400"/>
    <n v="0.36363636363636365"/>
    <x v="1"/>
  </r>
  <r>
    <x v="40"/>
    <x v="0"/>
    <n v="11"/>
    <x v="5"/>
    <n v="34"/>
    <x v="1"/>
    <x v="1"/>
    <x v="4"/>
    <x v="0"/>
    <x v="1"/>
    <x v="5"/>
    <n v="3"/>
    <n v="900"/>
    <x v="3"/>
    <n v="4200"/>
    <n v="2700"/>
    <n v="1500"/>
    <n v="0.35714285714285715"/>
    <x v="1"/>
  </r>
  <r>
    <x v="33"/>
    <x v="1"/>
    <n v="12"/>
    <x v="5"/>
    <n v="34"/>
    <x v="0"/>
    <x v="0"/>
    <x v="1"/>
    <x v="0"/>
    <x v="3"/>
    <x v="23"/>
    <n v="1"/>
    <n v="530"/>
    <x v="8"/>
    <n v="840"/>
    <n v="530"/>
    <n v="310"/>
    <n v="0.36904761904761907"/>
    <x v="1"/>
  </r>
  <r>
    <x v="57"/>
    <x v="1"/>
    <n v="12"/>
    <x v="3"/>
    <n v="34"/>
    <x v="1"/>
    <x v="1"/>
    <x v="15"/>
    <x v="0"/>
    <x v="1"/>
    <x v="5"/>
    <n v="3"/>
    <n v="900"/>
    <x v="3"/>
    <n v="4200"/>
    <n v="2700"/>
    <n v="1500"/>
    <n v="0.35714285714285715"/>
    <x v="1"/>
  </r>
  <r>
    <x v="57"/>
    <x v="1"/>
    <n v="12"/>
    <x v="3"/>
    <n v="34"/>
    <x v="1"/>
    <x v="0"/>
    <x v="3"/>
    <x v="0"/>
    <x v="3"/>
    <x v="11"/>
    <n v="2"/>
    <n v="500"/>
    <x v="5"/>
    <n v="1600"/>
    <n v="1000"/>
    <n v="600"/>
    <n v="0.375"/>
    <x v="1"/>
  </r>
  <r>
    <x v="57"/>
    <x v="1"/>
    <n v="12"/>
    <x v="3"/>
    <n v="34"/>
    <x v="1"/>
    <x v="5"/>
    <x v="16"/>
    <x v="0"/>
    <x v="3"/>
    <x v="29"/>
    <n v="1"/>
    <n v="530"/>
    <x v="8"/>
    <n v="840"/>
    <n v="530"/>
    <n v="310"/>
    <n v="0.36904761904761907"/>
    <x v="1"/>
  </r>
  <r>
    <x v="70"/>
    <x v="1"/>
    <n v="12"/>
    <x v="2"/>
    <n v="34"/>
    <x v="0"/>
    <x v="0"/>
    <x v="2"/>
    <x v="0"/>
    <x v="0"/>
    <x v="14"/>
    <n v="2"/>
    <n v="580"/>
    <x v="4"/>
    <n v="1840"/>
    <n v="1160"/>
    <n v="680"/>
    <n v="0.36956521739130432"/>
    <x v="1"/>
  </r>
  <r>
    <x v="48"/>
    <x v="1"/>
    <n v="12"/>
    <x v="3"/>
    <n v="34"/>
    <x v="0"/>
    <x v="5"/>
    <x v="16"/>
    <x v="0"/>
    <x v="3"/>
    <x v="35"/>
    <n v="3"/>
    <n v="500"/>
    <x v="5"/>
    <n v="2400"/>
    <n v="1500"/>
    <n v="900"/>
    <n v="0.375"/>
    <x v="1"/>
  </r>
  <r>
    <x v="48"/>
    <x v="1"/>
    <n v="12"/>
    <x v="3"/>
    <n v="34"/>
    <x v="1"/>
    <x v="2"/>
    <x v="7"/>
    <x v="1"/>
    <x v="0"/>
    <x v="41"/>
    <n v="2"/>
    <n v="550"/>
    <x v="2"/>
    <n v="1700"/>
    <n v="1100"/>
    <n v="600"/>
    <n v="0.35294117647058826"/>
    <x v="1"/>
  </r>
  <r>
    <x v="48"/>
    <x v="1"/>
    <n v="12"/>
    <x v="3"/>
    <n v="34"/>
    <x v="0"/>
    <x v="2"/>
    <x v="7"/>
    <x v="1"/>
    <x v="0"/>
    <x v="12"/>
    <n v="1"/>
    <n v="480"/>
    <x v="6"/>
    <n v="760"/>
    <n v="480"/>
    <n v="280"/>
    <n v="0.36842105263157893"/>
    <x v="1"/>
  </r>
  <r>
    <x v="48"/>
    <x v="1"/>
    <n v="12"/>
    <x v="3"/>
    <n v="34"/>
    <x v="1"/>
    <x v="2"/>
    <x v="5"/>
    <x v="1"/>
    <x v="2"/>
    <x v="54"/>
    <n v="1"/>
    <n v="400"/>
    <x v="9"/>
    <n v="650"/>
    <n v="400"/>
    <n v="250"/>
    <n v="0.38461538461538464"/>
    <x v="1"/>
  </r>
  <r>
    <x v="16"/>
    <x v="1"/>
    <n v="12"/>
    <x v="4"/>
    <n v="34"/>
    <x v="0"/>
    <x v="0"/>
    <x v="1"/>
    <x v="1"/>
    <x v="0"/>
    <x v="25"/>
    <n v="2"/>
    <n v="550"/>
    <x v="2"/>
    <n v="1700"/>
    <n v="1100"/>
    <n v="600"/>
    <n v="0.35294117647058826"/>
    <x v="1"/>
  </r>
  <r>
    <x v="16"/>
    <x v="1"/>
    <n v="12"/>
    <x v="4"/>
    <n v="34"/>
    <x v="0"/>
    <x v="3"/>
    <x v="13"/>
    <x v="0"/>
    <x v="1"/>
    <x v="1"/>
    <n v="1"/>
    <n v="620"/>
    <x v="1"/>
    <n v="980"/>
    <n v="620"/>
    <n v="360"/>
    <n v="0.36734693877551022"/>
    <x v="1"/>
  </r>
  <r>
    <x v="79"/>
    <x v="1"/>
    <n v="12"/>
    <x v="0"/>
    <n v="34"/>
    <x v="1"/>
    <x v="5"/>
    <x v="16"/>
    <x v="0"/>
    <x v="3"/>
    <x v="29"/>
    <n v="4"/>
    <n v="530"/>
    <x v="8"/>
    <n v="3360"/>
    <n v="2120"/>
    <n v="1240"/>
    <n v="0.36904761904761907"/>
    <x v="1"/>
  </r>
  <r>
    <x v="27"/>
    <x v="1"/>
    <n v="12"/>
    <x v="2"/>
    <n v="34"/>
    <x v="0"/>
    <x v="0"/>
    <x v="2"/>
    <x v="0"/>
    <x v="0"/>
    <x v="14"/>
    <n v="2"/>
    <n v="580"/>
    <x v="4"/>
    <n v="1840"/>
    <n v="1160"/>
    <n v="680"/>
    <n v="0.36956521739130432"/>
    <x v="1"/>
  </r>
  <r>
    <x v="27"/>
    <x v="1"/>
    <n v="12"/>
    <x v="2"/>
    <n v="34"/>
    <x v="1"/>
    <x v="0"/>
    <x v="10"/>
    <x v="0"/>
    <x v="3"/>
    <x v="11"/>
    <n v="2"/>
    <n v="500"/>
    <x v="5"/>
    <n v="1600"/>
    <n v="1000"/>
    <n v="600"/>
    <n v="0.375"/>
    <x v="1"/>
  </r>
  <r>
    <x v="28"/>
    <x v="1"/>
    <n v="12"/>
    <x v="3"/>
    <n v="34"/>
    <x v="1"/>
    <x v="2"/>
    <x v="7"/>
    <x v="1"/>
    <x v="0"/>
    <x v="41"/>
    <n v="1"/>
    <n v="550"/>
    <x v="2"/>
    <n v="850"/>
    <n v="550"/>
    <n v="300"/>
    <n v="0.35294117647058826"/>
    <x v="1"/>
  </r>
  <r>
    <x v="63"/>
    <x v="1"/>
    <n v="12"/>
    <x v="6"/>
    <n v="34"/>
    <x v="1"/>
    <x v="0"/>
    <x v="2"/>
    <x v="0"/>
    <x v="1"/>
    <x v="5"/>
    <n v="1"/>
    <n v="900"/>
    <x v="3"/>
    <n v="1400"/>
    <n v="900"/>
    <n v="500"/>
    <n v="0.35714285714285715"/>
    <x v="1"/>
  </r>
  <r>
    <x v="59"/>
    <x v="1"/>
    <n v="12"/>
    <x v="4"/>
    <n v="34"/>
    <x v="0"/>
    <x v="2"/>
    <x v="7"/>
    <x v="1"/>
    <x v="0"/>
    <x v="12"/>
    <n v="1"/>
    <n v="480"/>
    <x v="6"/>
    <n v="760"/>
    <n v="480"/>
    <n v="280"/>
    <n v="0.36842105263157893"/>
    <x v="1"/>
  </r>
  <r>
    <x v="29"/>
    <x v="1"/>
    <n v="12"/>
    <x v="1"/>
    <n v="34"/>
    <x v="0"/>
    <x v="0"/>
    <x v="0"/>
    <x v="1"/>
    <x v="0"/>
    <x v="55"/>
    <n v="1"/>
    <n v="400"/>
    <x v="9"/>
    <n v="650"/>
    <n v="400"/>
    <n v="250"/>
    <n v="0.38461538461538464"/>
    <x v="1"/>
  </r>
  <r>
    <x v="42"/>
    <x v="1"/>
    <n v="12"/>
    <x v="5"/>
    <n v="34"/>
    <x v="0"/>
    <x v="5"/>
    <x v="16"/>
    <x v="0"/>
    <x v="3"/>
    <x v="35"/>
    <n v="1"/>
    <n v="500"/>
    <x v="5"/>
    <n v="800"/>
    <n v="500"/>
    <n v="300"/>
    <n v="0.375"/>
    <x v="1"/>
  </r>
  <r>
    <x v="35"/>
    <x v="2"/>
    <n v="10"/>
    <x v="3"/>
    <n v="35"/>
    <x v="1"/>
    <x v="4"/>
    <x v="11"/>
    <x v="0"/>
    <x v="0"/>
    <x v="6"/>
    <n v="4"/>
    <n v="700"/>
    <x v="0"/>
    <n v="4400"/>
    <n v="2800"/>
    <n v="1600"/>
    <n v="0.36363636363636365"/>
    <x v="2"/>
  </r>
  <r>
    <x v="65"/>
    <x v="2"/>
    <n v="10"/>
    <x v="0"/>
    <n v="35"/>
    <x v="0"/>
    <x v="0"/>
    <x v="3"/>
    <x v="0"/>
    <x v="3"/>
    <x v="23"/>
    <n v="1"/>
    <n v="530"/>
    <x v="8"/>
    <n v="840"/>
    <n v="530"/>
    <n v="310"/>
    <n v="0.36904761904761907"/>
    <x v="2"/>
  </r>
  <r>
    <x v="69"/>
    <x v="2"/>
    <n v="10"/>
    <x v="5"/>
    <n v="35"/>
    <x v="1"/>
    <x v="4"/>
    <x v="11"/>
    <x v="0"/>
    <x v="0"/>
    <x v="6"/>
    <n v="1"/>
    <n v="700"/>
    <x v="0"/>
    <n v="1100"/>
    <n v="700"/>
    <n v="400"/>
    <n v="0.36363636363636365"/>
    <x v="2"/>
  </r>
  <r>
    <x v="60"/>
    <x v="2"/>
    <n v="10"/>
    <x v="3"/>
    <n v="35"/>
    <x v="0"/>
    <x v="4"/>
    <x v="11"/>
    <x v="0"/>
    <x v="0"/>
    <x v="6"/>
    <n v="2"/>
    <n v="700"/>
    <x v="0"/>
    <n v="2200"/>
    <n v="1400"/>
    <n v="800"/>
    <n v="0.36363636363636365"/>
    <x v="2"/>
  </r>
  <r>
    <x v="21"/>
    <x v="0"/>
    <n v="11"/>
    <x v="6"/>
    <n v="35"/>
    <x v="1"/>
    <x v="3"/>
    <x v="8"/>
    <x v="0"/>
    <x v="0"/>
    <x v="14"/>
    <n v="1"/>
    <n v="580"/>
    <x v="4"/>
    <n v="920"/>
    <n v="580"/>
    <n v="340"/>
    <n v="0.36956521739130432"/>
    <x v="2"/>
  </r>
  <r>
    <x v="2"/>
    <x v="0"/>
    <n v="11"/>
    <x v="0"/>
    <n v="35"/>
    <x v="0"/>
    <x v="4"/>
    <x v="11"/>
    <x v="1"/>
    <x v="0"/>
    <x v="19"/>
    <n v="2"/>
    <n v="480"/>
    <x v="6"/>
    <n v="1520"/>
    <n v="960"/>
    <n v="560"/>
    <n v="0.36842105263157893"/>
    <x v="2"/>
  </r>
  <r>
    <x v="62"/>
    <x v="0"/>
    <n v="11"/>
    <x v="4"/>
    <n v="35"/>
    <x v="0"/>
    <x v="2"/>
    <x v="5"/>
    <x v="0"/>
    <x v="1"/>
    <x v="43"/>
    <n v="4"/>
    <n v="900"/>
    <x v="3"/>
    <n v="5600"/>
    <n v="3600"/>
    <n v="2000"/>
    <n v="0.35714285714285715"/>
    <x v="2"/>
  </r>
  <r>
    <x v="83"/>
    <x v="1"/>
    <n v="12"/>
    <x v="2"/>
    <n v="35"/>
    <x v="0"/>
    <x v="0"/>
    <x v="1"/>
    <x v="0"/>
    <x v="3"/>
    <x v="29"/>
    <n v="2"/>
    <n v="530"/>
    <x v="8"/>
    <n v="1680"/>
    <n v="1060"/>
    <n v="620"/>
    <n v="0.36904761904761907"/>
    <x v="2"/>
  </r>
  <r>
    <x v="77"/>
    <x v="1"/>
    <n v="12"/>
    <x v="4"/>
    <n v="35"/>
    <x v="1"/>
    <x v="0"/>
    <x v="2"/>
    <x v="1"/>
    <x v="2"/>
    <x v="20"/>
    <n v="1"/>
    <n v="550"/>
    <x v="2"/>
    <n v="850"/>
    <n v="550"/>
    <n v="300"/>
    <n v="0.35294117647058826"/>
    <x v="2"/>
  </r>
  <r>
    <x v="26"/>
    <x v="1"/>
    <n v="12"/>
    <x v="5"/>
    <n v="35"/>
    <x v="1"/>
    <x v="2"/>
    <x v="7"/>
    <x v="1"/>
    <x v="0"/>
    <x v="56"/>
    <n v="1"/>
    <n v="480"/>
    <x v="6"/>
    <n v="760"/>
    <n v="480"/>
    <n v="280"/>
    <n v="0.36842105263157893"/>
    <x v="2"/>
  </r>
  <r>
    <x v="16"/>
    <x v="1"/>
    <n v="12"/>
    <x v="4"/>
    <n v="35"/>
    <x v="1"/>
    <x v="0"/>
    <x v="0"/>
    <x v="1"/>
    <x v="2"/>
    <x v="40"/>
    <n v="1"/>
    <n v="550"/>
    <x v="2"/>
    <n v="850"/>
    <n v="550"/>
    <n v="300"/>
    <n v="0.35294117647058826"/>
    <x v="2"/>
  </r>
  <r>
    <x v="78"/>
    <x v="1"/>
    <n v="12"/>
    <x v="0"/>
    <n v="35"/>
    <x v="1"/>
    <x v="3"/>
    <x v="13"/>
    <x v="0"/>
    <x v="3"/>
    <x v="38"/>
    <n v="1"/>
    <n v="530"/>
    <x v="8"/>
    <n v="840"/>
    <n v="530"/>
    <n v="310"/>
    <n v="0.36904761904761907"/>
    <x v="2"/>
  </r>
  <r>
    <x v="58"/>
    <x v="1"/>
    <n v="12"/>
    <x v="6"/>
    <n v="35"/>
    <x v="1"/>
    <x v="0"/>
    <x v="1"/>
    <x v="1"/>
    <x v="2"/>
    <x v="18"/>
    <n v="4"/>
    <n v="480"/>
    <x v="6"/>
    <n v="3040"/>
    <n v="1920"/>
    <n v="1120"/>
    <n v="0.36842105263157893"/>
    <x v="2"/>
  </r>
  <r>
    <x v="9"/>
    <x v="1"/>
    <n v="12"/>
    <x v="4"/>
    <n v="35"/>
    <x v="1"/>
    <x v="2"/>
    <x v="9"/>
    <x v="1"/>
    <x v="0"/>
    <x v="57"/>
    <n v="4"/>
    <n v="400"/>
    <x v="9"/>
    <n v="2600"/>
    <n v="1600"/>
    <n v="1000"/>
    <n v="0.38461538461538464"/>
    <x v="2"/>
  </r>
  <r>
    <x v="79"/>
    <x v="1"/>
    <n v="12"/>
    <x v="0"/>
    <n v="35"/>
    <x v="0"/>
    <x v="1"/>
    <x v="26"/>
    <x v="0"/>
    <x v="1"/>
    <x v="30"/>
    <n v="3"/>
    <n v="900"/>
    <x v="3"/>
    <n v="4200"/>
    <n v="2700"/>
    <n v="1500"/>
    <n v="0.35714285714285715"/>
    <x v="2"/>
  </r>
  <r>
    <x v="79"/>
    <x v="1"/>
    <n v="12"/>
    <x v="0"/>
    <n v="35"/>
    <x v="1"/>
    <x v="0"/>
    <x v="2"/>
    <x v="1"/>
    <x v="2"/>
    <x v="20"/>
    <n v="1"/>
    <n v="550"/>
    <x v="2"/>
    <n v="850"/>
    <n v="550"/>
    <n v="300"/>
    <n v="0.35294117647058826"/>
    <x v="2"/>
  </r>
  <r>
    <x v="79"/>
    <x v="1"/>
    <n v="12"/>
    <x v="0"/>
    <n v="35"/>
    <x v="0"/>
    <x v="0"/>
    <x v="0"/>
    <x v="1"/>
    <x v="2"/>
    <x v="20"/>
    <n v="1"/>
    <n v="550"/>
    <x v="2"/>
    <n v="850"/>
    <n v="550"/>
    <n v="300"/>
    <n v="0.35294117647058826"/>
    <x v="2"/>
  </r>
  <r>
    <x v="79"/>
    <x v="1"/>
    <n v="12"/>
    <x v="0"/>
    <n v="35"/>
    <x v="1"/>
    <x v="0"/>
    <x v="2"/>
    <x v="0"/>
    <x v="3"/>
    <x v="38"/>
    <n v="1"/>
    <n v="530"/>
    <x v="8"/>
    <n v="840"/>
    <n v="530"/>
    <n v="310"/>
    <n v="0.36904761904761907"/>
    <x v="2"/>
  </r>
  <r>
    <x v="27"/>
    <x v="1"/>
    <n v="12"/>
    <x v="2"/>
    <n v="35"/>
    <x v="1"/>
    <x v="2"/>
    <x v="7"/>
    <x v="1"/>
    <x v="0"/>
    <x v="56"/>
    <n v="1"/>
    <n v="480"/>
    <x v="6"/>
    <n v="760"/>
    <n v="480"/>
    <n v="280"/>
    <n v="0.36842105263157893"/>
    <x v="2"/>
  </r>
  <r>
    <x v="29"/>
    <x v="1"/>
    <n v="12"/>
    <x v="1"/>
    <n v="35"/>
    <x v="1"/>
    <x v="0"/>
    <x v="1"/>
    <x v="0"/>
    <x v="3"/>
    <x v="23"/>
    <n v="4"/>
    <n v="530"/>
    <x v="8"/>
    <n v="3360"/>
    <n v="2120"/>
    <n v="1240"/>
    <n v="0.36904761904761907"/>
    <x v="2"/>
  </r>
  <r>
    <x v="42"/>
    <x v="1"/>
    <n v="12"/>
    <x v="5"/>
    <n v="35"/>
    <x v="1"/>
    <x v="3"/>
    <x v="13"/>
    <x v="0"/>
    <x v="3"/>
    <x v="38"/>
    <n v="1"/>
    <n v="530"/>
    <x v="8"/>
    <n v="840"/>
    <n v="530"/>
    <n v="310"/>
    <n v="0.36904761904761907"/>
    <x v="2"/>
  </r>
  <r>
    <x v="72"/>
    <x v="2"/>
    <n v="10"/>
    <x v="3"/>
    <n v="36"/>
    <x v="1"/>
    <x v="2"/>
    <x v="7"/>
    <x v="0"/>
    <x v="1"/>
    <x v="52"/>
    <n v="1"/>
    <n v="620"/>
    <x v="1"/>
    <n v="980"/>
    <n v="620"/>
    <n v="360"/>
    <n v="0.36734693877551022"/>
    <x v="2"/>
  </r>
  <r>
    <x v="84"/>
    <x v="2"/>
    <n v="10"/>
    <x v="4"/>
    <n v="36"/>
    <x v="0"/>
    <x v="0"/>
    <x v="10"/>
    <x v="0"/>
    <x v="3"/>
    <x v="33"/>
    <n v="1"/>
    <n v="500"/>
    <x v="5"/>
    <n v="800"/>
    <n v="500"/>
    <n v="300"/>
    <n v="0.375"/>
    <x v="2"/>
  </r>
  <r>
    <x v="89"/>
    <x v="2"/>
    <n v="10"/>
    <x v="2"/>
    <n v="36"/>
    <x v="1"/>
    <x v="0"/>
    <x v="2"/>
    <x v="0"/>
    <x v="3"/>
    <x v="38"/>
    <n v="3"/>
    <n v="530"/>
    <x v="8"/>
    <n v="2520"/>
    <n v="1590"/>
    <n v="930"/>
    <n v="0.36904761904761907"/>
    <x v="2"/>
  </r>
  <r>
    <x v="90"/>
    <x v="2"/>
    <n v="10"/>
    <x v="4"/>
    <n v="36"/>
    <x v="1"/>
    <x v="2"/>
    <x v="7"/>
    <x v="0"/>
    <x v="1"/>
    <x v="52"/>
    <n v="1"/>
    <n v="620"/>
    <x v="1"/>
    <n v="980"/>
    <n v="620"/>
    <n v="360"/>
    <n v="0.36734693877551022"/>
    <x v="2"/>
  </r>
  <r>
    <x v="82"/>
    <x v="2"/>
    <n v="10"/>
    <x v="6"/>
    <n v="36"/>
    <x v="1"/>
    <x v="0"/>
    <x v="2"/>
    <x v="0"/>
    <x v="3"/>
    <x v="38"/>
    <n v="3"/>
    <n v="530"/>
    <x v="8"/>
    <n v="2520"/>
    <n v="1590"/>
    <n v="930"/>
    <n v="0.36904761904761907"/>
    <x v="2"/>
  </r>
  <r>
    <x v="75"/>
    <x v="2"/>
    <n v="10"/>
    <x v="6"/>
    <n v="36"/>
    <x v="0"/>
    <x v="1"/>
    <x v="23"/>
    <x v="0"/>
    <x v="3"/>
    <x v="38"/>
    <n v="1"/>
    <n v="530"/>
    <x v="8"/>
    <n v="840"/>
    <n v="530"/>
    <n v="310"/>
    <n v="0.36904761904761907"/>
    <x v="2"/>
  </r>
  <r>
    <x v="86"/>
    <x v="2"/>
    <n v="10"/>
    <x v="5"/>
    <n v="36"/>
    <x v="1"/>
    <x v="0"/>
    <x v="0"/>
    <x v="0"/>
    <x v="3"/>
    <x v="33"/>
    <n v="1"/>
    <n v="500"/>
    <x v="5"/>
    <n v="800"/>
    <n v="500"/>
    <n v="300"/>
    <n v="0.375"/>
    <x v="2"/>
  </r>
  <r>
    <x v="46"/>
    <x v="2"/>
    <n v="10"/>
    <x v="6"/>
    <n v="36"/>
    <x v="1"/>
    <x v="2"/>
    <x v="9"/>
    <x v="0"/>
    <x v="0"/>
    <x v="14"/>
    <n v="1"/>
    <n v="580"/>
    <x v="4"/>
    <n v="920"/>
    <n v="580"/>
    <n v="340"/>
    <n v="0.36956521739130432"/>
    <x v="2"/>
  </r>
  <r>
    <x v="21"/>
    <x v="0"/>
    <n v="11"/>
    <x v="6"/>
    <n v="36"/>
    <x v="1"/>
    <x v="2"/>
    <x v="7"/>
    <x v="0"/>
    <x v="1"/>
    <x v="52"/>
    <n v="2"/>
    <n v="620"/>
    <x v="1"/>
    <n v="1960"/>
    <n v="1240"/>
    <n v="720"/>
    <n v="0.36734693877551022"/>
    <x v="2"/>
  </r>
  <r>
    <x v="6"/>
    <x v="0"/>
    <n v="11"/>
    <x v="3"/>
    <n v="36"/>
    <x v="0"/>
    <x v="3"/>
    <x v="8"/>
    <x v="1"/>
    <x v="0"/>
    <x v="25"/>
    <n v="1"/>
    <n v="550"/>
    <x v="2"/>
    <n v="850"/>
    <n v="550"/>
    <n v="300"/>
    <n v="0.35294117647058826"/>
    <x v="2"/>
  </r>
  <r>
    <x v="8"/>
    <x v="0"/>
    <n v="11"/>
    <x v="1"/>
    <n v="36"/>
    <x v="1"/>
    <x v="2"/>
    <x v="7"/>
    <x v="0"/>
    <x v="1"/>
    <x v="52"/>
    <n v="1"/>
    <n v="620"/>
    <x v="1"/>
    <n v="980"/>
    <n v="620"/>
    <n v="360"/>
    <n v="0.36734693877551022"/>
    <x v="2"/>
  </r>
  <r>
    <x v="33"/>
    <x v="1"/>
    <n v="12"/>
    <x v="5"/>
    <n v="36"/>
    <x v="1"/>
    <x v="3"/>
    <x v="29"/>
    <x v="0"/>
    <x v="3"/>
    <x v="17"/>
    <n v="2"/>
    <n v="500"/>
    <x v="5"/>
    <n v="1600"/>
    <n v="1000"/>
    <n v="600"/>
    <n v="0.375"/>
    <x v="2"/>
  </r>
  <r>
    <x v="47"/>
    <x v="1"/>
    <n v="12"/>
    <x v="0"/>
    <n v="36"/>
    <x v="0"/>
    <x v="0"/>
    <x v="1"/>
    <x v="1"/>
    <x v="0"/>
    <x v="41"/>
    <n v="1"/>
    <n v="550"/>
    <x v="2"/>
    <n v="850"/>
    <n v="550"/>
    <n v="300"/>
    <n v="0.35294117647058826"/>
    <x v="2"/>
  </r>
  <r>
    <x v="25"/>
    <x v="1"/>
    <n v="12"/>
    <x v="1"/>
    <n v="36"/>
    <x v="1"/>
    <x v="3"/>
    <x v="12"/>
    <x v="0"/>
    <x v="1"/>
    <x v="5"/>
    <n v="4"/>
    <n v="900"/>
    <x v="3"/>
    <n v="5600"/>
    <n v="3600"/>
    <n v="2000"/>
    <n v="0.35714285714285715"/>
    <x v="2"/>
  </r>
  <r>
    <x v="25"/>
    <x v="1"/>
    <n v="12"/>
    <x v="1"/>
    <n v="36"/>
    <x v="1"/>
    <x v="0"/>
    <x v="1"/>
    <x v="0"/>
    <x v="3"/>
    <x v="37"/>
    <n v="1"/>
    <n v="530"/>
    <x v="8"/>
    <n v="840"/>
    <n v="530"/>
    <n v="310"/>
    <n v="0.36904761904761907"/>
    <x v="2"/>
  </r>
  <r>
    <x v="26"/>
    <x v="1"/>
    <n v="12"/>
    <x v="5"/>
    <n v="36"/>
    <x v="1"/>
    <x v="0"/>
    <x v="1"/>
    <x v="0"/>
    <x v="3"/>
    <x v="37"/>
    <n v="4"/>
    <n v="530"/>
    <x v="8"/>
    <n v="3360"/>
    <n v="2120"/>
    <n v="1240"/>
    <n v="0.36904761904761907"/>
    <x v="2"/>
  </r>
  <r>
    <x v="15"/>
    <x v="1"/>
    <n v="12"/>
    <x v="6"/>
    <n v="36"/>
    <x v="1"/>
    <x v="0"/>
    <x v="2"/>
    <x v="0"/>
    <x v="3"/>
    <x v="38"/>
    <n v="2"/>
    <n v="530"/>
    <x v="8"/>
    <n v="1680"/>
    <n v="1060"/>
    <n v="620"/>
    <n v="0.36904761904761907"/>
    <x v="2"/>
  </r>
  <r>
    <x v="16"/>
    <x v="1"/>
    <n v="12"/>
    <x v="4"/>
    <n v="36"/>
    <x v="1"/>
    <x v="0"/>
    <x v="1"/>
    <x v="1"/>
    <x v="2"/>
    <x v="40"/>
    <n v="4"/>
    <n v="550"/>
    <x v="2"/>
    <n v="3400"/>
    <n v="2200"/>
    <n v="1200"/>
    <n v="0.35294117647058826"/>
    <x v="2"/>
  </r>
  <r>
    <x v="88"/>
    <x v="1"/>
    <n v="12"/>
    <x v="1"/>
    <n v="36"/>
    <x v="1"/>
    <x v="0"/>
    <x v="10"/>
    <x v="0"/>
    <x v="1"/>
    <x v="30"/>
    <n v="2"/>
    <n v="900"/>
    <x v="3"/>
    <n v="2800"/>
    <n v="1800"/>
    <n v="1000"/>
    <n v="0.35714285714285715"/>
    <x v="2"/>
  </r>
  <r>
    <x v="88"/>
    <x v="1"/>
    <n v="12"/>
    <x v="1"/>
    <n v="36"/>
    <x v="1"/>
    <x v="0"/>
    <x v="0"/>
    <x v="0"/>
    <x v="3"/>
    <x v="33"/>
    <n v="1"/>
    <n v="500"/>
    <x v="5"/>
    <n v="800"/>
    <n v="500"/>
    <n v="300"/>
    <n v="0.375"/>
    <x v="2"/>
  </r>
  <r>
    <x v="49"/>
    <x v="1"/>
    <n v="12"/>
    <x v="5"/>
    <n v="36"/>
    <x v="0"/>
    <x v="3"/>
    <x v="13"/>
    <x v="0"/>
    <x v="3"/>
    <x v="23"/>
    <n v="3"/>
    <n v="530"/>
    <x v="8"/>
    <n v="2520"/>
    <n v="1590"/>
    <n v="930"/>
    <n v="0.36904761904761907"/>
    <x v="2"/>
  </r>
  <r>
    <x v="18"/>
    <x v="1"/>
    <n v="12"/>
    <x v="3"/>
    <n v="36"/>
    <x v="1"/>
    <x v="0"/>
    <x v="1"/>
    <x v="0"/>
    <x v="3"/>
    <x v="37"/>
    <n v="4"/>
    <n v="530"/>
    <x v="8"/>
    <n v="3360"/>
    <n v="2120"/>
    <n v="1240"/>
    <n v="0.36904761904761907"/>
    <x v="2"/>
  </r>
  <r>
    <x v="58"/>
    <x v="1"/>
    <n v="12"/>
    <x v="6"/>
    <n v="36"/>
    <x v="0"/>
    <x v="2"/>
    <x v="5"/>
    <x v="1"/>
    <x v="2"/>
    <x v="20"/>
    <n v="1"/>
    <n v="550"/>
    <x v="2"/>
    <n v="850"/>
    <n v="550"/>
    <n v="300"/>
    <n v="0.35294117647058826"/>
    <x v="2"/>
  </r>
  <r>
    <x v="28"/>
    <x v="1"/>
    <n v="12"/>
    <x v="3"/>
    <n v="36"/>
    <x v="0"/>
    <x v="0"/>
    <x v="2"/>
    <x v="0"/>
    <x v="3"/>
    <x v="35"/>
    <n v="2"/>
    <n v="500"/>
    <x v="5"/>
    <n v="1600"/>
    <n v="1000"/>
    <n v="600"/>
    <n v="0.375"/>
    <x v="2"/>
  </r>
  <r>
    <x v="28"/>
    <x v="1"/>
    <n v="12"/>
    <x v="3"/>
    <n v="36"/>
    <x v="0"/>
    <x v="3"/>
    <x v="8"/>
    <x v="0"/>
    <x v="3"/>
    <x v="33"/>
    <n v="1"/>
    <n v="500"/>
    <x v="5"/>
    <n v="800"/>
    <n v="500"/>
    <n v="300"/>
    <n v="0.375"/>
    <x v="2"/>
  </r>
  <r>
    <x v="71"/>
    <x v="1"/>
    <n v="12"/>
    <x v="0"/>
    <n v="36"/>
    <x v="1"/>
    <x v="3"/>
    <x v="8"/>
    <x v="0"/>
    <x v="0"/>
    <x v="14"/>
    <n v="1"/>
    <n v="580"/>
    <x v="4"/>
    <n v="920"/>
    <n v="580"/>
    <n v="340"/>
    <n v="0.36956521739130432"/>
    <x v="2"/>
  </r>
  <r>
    <x v="29"/>
    <x v="1"/>
    <n v="12"/>
    <x v="1"/>
    <n v="36"/>
    <x v="0"/>
    <x v="4"/>
    <x v="11"/>
    <x v="0"/>
    <x v="0"/>
    <x v="22"/>
    <n v="3"/>
    <n v="700"/>
    <x v="0"/>
    <n v="3300"/>
    <n v="2100"/>
    <n v="1200"/>
    <n v="0.36363636363636365"/>
    <x v="2"/>
  </r>
  <r>
    <x v="51"/>
    <x v="1"/>
    <n v="12"/>
    <x v="2"/>
    <n v="36"/>
    <x v="0"/>
    <x v="0"/>
    <x v="2"/>
    <x v="0"/>
    <x v="3"/>
    <x v="35"/>
    <n v="1"/>
    <n v="500"/>
    <x v="5"/>
    <n v="800"/>
    <n v="500"/>
    <n v="300"/>
    <n v="0.375"/>
    <x v="2"/>
  </r>
  <r>
    <x v="64"/>
    <x v="1"/>
    <n v="12"/>
    <x v="3"/>
    <n v="36"/>
    <x v="1"/>
    <x v="0"/>
    <x v="1"/>
    <x v="1"/>
    <x v="2"/>
    <x v="40"/>
    <n v="3"/>
    <n v="550"/>
    <x v="2"/>
    <n v="2550"/>
    <n v="1650"/>
    <n v="900"/>
    <n v="0.35294117647058826"/>
    <x v="2"/>
  </r>
  <r>
    <x v="52"/>
    <x v="2"/>
    <n v="10"/>
    <x v="5"/>
    <n v="37"/>
    <x v="0"/>
    <x v="0"/>
    <x v="1"/>
    <x v="0"/>
    <x v="3"/>
    <x v="29"/>
    <n v="4"/>
    <n v="530"/>
    <x v="8"/>
    <n v="3360"/>
    <n v="2120"/>
    <n v="1240"/>
    <n v="0.36904761904761907"/>
    <x v="2"/>
  </r>
  <r>
    <x v="89"/>
    <x v="2"/>
    <n v="10"/>
    <x v="2"/>
    <n v="37"/>
    <x v="1"/>
    <x v="0"/>
    <x v="1"/>
    <x v="0"/>
    <x v="3"/>
    <x v="36"/>
    <n v="1"/>
    <n v="500"/>
    <x v="5"/>
    <n v="800"/>
    <n v="500"/>
    <n v="300"/>
    <n v="0.375"/>
    <x v="2"/>
  </r>
  <r>
    <x v="65"/>
    <x v="2"/>
    <n v="10"/>
    <x v="0"/>
    <n v="37"/>
    <x v="1"/>
    <x v="0"/>
    <x v="10"/>
    <x v="0"/>
    <x v="3"/>
    <x v="37"/>
    <n v="4"/>
    <n v="530"/>
    <x v="8"/>
    <n v="3360"/>
    <n v="2120"/>
    <n v="1240"/>
    <n v="0.36904761904761907"/>
    <x v="2"/>
  </r>
  <r>
    <x v="65"/>
    <x v="2"/>
    <n v="10"/>
    <x v="0"/>
    <n v="37"/>
    <x v="1"/>
    <x v="0"/>
    <x v="1"/>
    <x v="0"/>
    <x v="3"/>
    <x v="36"/>
    <n v="3"/>
    <n v="500"/>
    <x v="5"/>
    <n v="2400"/>
    <n v="1500"/>
    <n v="900"/>
    <n v="0.375"/>
    <x v="2"/>
  </r>
  <r>
    <x v="66"/>
    <x v="2"/>
    <n v="10"/>
    <x v="1"/>
    <n v="37"/>
    <x v="0"/>
    <x v="0"/>
    <x v="0"/>
    <x v="0"/>
    <x v="3"/>
    <x v="33"/>
    <n v="4"/>
    <n v="500"/>
    <x v="5"/>
    <n v="3200"/>
    <n v="2000"/>
    <n v="1200"/>
    <n v="0.375"/>
    <x v="2"/>
  </r>
  <r>
    <x v="66"/>
    <x v="2"/>
    <n v="10"/>
    <x v="1"/>
    <n v="37"/>
    <x v="0"/>
    <x v="5"/>
    <x v="16"/>
    <x v="1"/>
    <x v="2"/>
    <x v="58"/>
    <n v="3"/>
    <n v="480"/>
    <x v="6"/>
    <n v="2280"/>
    <n v="1440"/>
    <n v="840"/>
    <n v="0.36842105263157893"/>
    <x v="2"/>
  </r>
  <r>
    <x v="81"/>
    <x v="2"/>
    <n v="10"/>
    <x v="2"/>
    <n v="37"/>
    <x v="1"/>
    <x v="0"/>
    <x v="1"/>
    <x v="0"/>
    <x v="3"/>
    <x v="36"/>
    <n v="4"/>
    <n v="500"/>
    <x v="5"/>
    <n v="3200"/>
    <n v="2000"/>
    <n v="1200"/>
    <n v="0.375"/>
    <x v="2"/>
  </r>
  <r>
    <x v="60"/>
    <x v="2"/>
    <n v="10"/>
    <x v="3"/>
    <n v="37"/>
    <x v="0"/>
    <x v="5"/>
    <x v="16"/>
    <x v="0"/>
    <x v="3"/>
    <x v="37"/>
    <n v="1"/>
    <n v="530"/>
    <x v="8"/>
    <n v="840"/>
    <n v="530"/>
    <n v="310"/>
    <n v="0.36904761904761907"/>
    <x v="2"/>
  </r>
  <r>
    <x v="44"/>
    <x v="2"/>
    <n v="10"/>
    <x v="0"/>
    <n v="37"/>
    <x v="1"/>
    <x v="4"/>
    <x v="11"/>
    <x v="0"/>
    <x v="1"/>
    <x v="59"/>
    <n v="1"/>
    <n v="500"/>
    <x v="10"/>
    <n v="950"/>
    <n v="500"/>
    <n v="450"/>
    <n v="0.47368421052631576"/>
    <x v="2"/>
  </r>
  <r>
    <x v="45"/>
    <x v="2"/>
    <n v="10"/>
    <x v="1"/>
    <n v="37"/>
    <x v="1"/>
    <x v="2"/>
    <x v="9"/>
    <x v="0"/>
    <x v="3"/>
    <x v="17"/>
    <n v="1"/>
    <n v="500"/>
    <x v="5"/>
    <n v="800"/>
    <n v="500"/>
    <n v="300"/>
    <n v="0.375"/>
    <x v="2"/>
  </r>
  <r>
    <x v="0"/>
    <x v="0"/>
    <n v="11"/>
    <x v="0"/>
    <n v="37"/>
    <x v="0"/>
    <x v="2"/>
    <x v="7"/>
    <x v="0"/>
    <x v="1"/>
    <x v="1"/>
    <n v="1"/>
    <n v="620"/>
    <x v="1"/>
    <n v="980"/>
    <n v="620"/>
    <n v="360"/>
    <n v="0.36734693877551022"/>
    <x v="2"/>
  </r>
  <r>
    <x v="40"/>
    <x v="0"/>
    <n v="11"/>
    <x v="5"/>
    <n v="37"/>
    <x v="1"/>
    <x v="2"/>
    <x v="5"/>
    <x v="0"/>
    <x v="3"/>
    <x v="38"/>
    <n v="2"/>
    <n v="530"/>
    <x v="8"/>
    <n v="1680"/>
    <n v="1060"/>
    <n v="620"/>
    <n v="0.36904761904761907"/>
    <x v="2"/>
  </r>
  <r>
    <x v="83"/>
    <x v="1"/>
    <n v="12"/>
    <x v="2"/>
    <n v="37"/>
    <x v="0"/>
    <x v="2"/>
    <x v="7"/>
    <x v="1"/>
    <x v="2"/>
    <x v="31"/>
    <n v="2"/>
    <n v="450"/>
    <x v="7"/>
    <n v="1440"/>
    <n v="900"/>
    <n v="540"/>
    <n v="0.375"/>
    <x v="2"/>
  </r>
  <r>
    <x v="57"/>
    <x v="1"/>
    <n v="12"/>
    <x v="3"/>
    <n v="37"/>
    <x v="1"/>
    <x v="2"/>
    <x v="7"/>
    <x v="1"/>
    <x v="0"/>
    <x v="15"/>
    <n v="2"/>
    <n v="550"/>
    <x v="2"/>
    <n v="1700"/>
    <n v="1100"/>
    <n v="600"/>
    <n v="0.35294117647058826"/>
    <x v="2"/>
  </r>
  <r>
    <x v="57"/>
    <x v="1"/>
    <n v="12"/>
    <x v="3"/>
    <n v="37"/>
    <x v="0"/>
    <x v="2"/>
    <x v="5"/>
    <x v="1"/>
    <x v="0"/>
    <x v="15"/>
    <n v="1"/>
    <n v="550"/>
    <x v="2"/>
    <n v="850"/>
    <n v="550"/>
    <n v="300"/>
    <n v="0.35294117647058826"/>
    <x v="2"/>
  </r>
  <r>
    <x v="77"/>
    <x v="1"/>
    <n v="12"/>
    <x v="4"/>
    <n v="37"/>
    <x v="1"/>
    <x v="2"/>
    <x v="7"/>
    <x v="1"/>
    <x v="0"/>
    <x v="15"/>
    <n v="1"/>
    <n v="550"/>
    <x v="2"/>
    <n v="850"/>
    <n v="550"/>
    <n v="300"/>
    <n v="0.35294117647058826"/>
    <x v="2"/>
  </r>
  <r>
    <x v="25"/>
    <x v="1"/>
    <n v="12"/>
    <x v="1"/>
    <n v="37"/>
    <x v="1"/>
    <x v="0"/>
    <x v="10"/>
    <x v="0"/>
    <x v="3"/>
    <x v="37"/>
    <n v="4"/>
    <n v="530"/>
    <x v="8"/>
    <n v="3360"/>
    <n v="2120"/>
    <n v="1240"/>
    <n v="0.36904761904761907"/>
    <x v="2"/>
  </r>
  <r>
    <x v="15"/>
    <x v="1"/>
    <n v="12"/>
    <x v="6"/>
    <n v="37"/>
    <x v="0"/>
    <x v="2"/>
    <x v="7"/>
    <x v="1"/>
    <x v="2"/>
    <x v="31"/>
    <n v="1"/>
    <n v="450"/>
    <x v="7"/>
    <n v="720"/>
    <n v="450"/>
    <n v="270"/>
    <n v="0.375"/>
    <x v="2"/>
  </r>
  <r>
    <x v="16"/>
    <x v="1"/>
    <n v="12"/>
    <x v="4"/>
    <n v="37"/>
    <x v="0"/>
    <x v="2"/>
    <x v="7"/>
    <x v="1"/>
    <x v="2"/>
    <x v="31"/>
    <n v="4"/>
    <n v="450"/>
    <x v="7"/>
    <n v="2880"/>
    <n v="1800"/>
    <n v="1080"/>
    <n v="0.375"/>
    <x v="2"/>
  </r>
  <r>
    <x v="16"/>
    <x v="1"/>
    <n v="12"/>
    <x v="4"/>
    <n v="37"/>
    <x v="0"/>
    <x v="1"/>
    <x v="15"/>
    <x v="0"/>
    <x v="1"/>
    <x v="43"/>
    <n v="1"/>
    <n v="900"/>
    <x v="3"/>
    <n v="1400"/>
    <n v="900"/>
    <n v="500"/>
    <n v="0.35714285714285715"/>
    <x v="2"/>
  </r>
  <r>
    <x v="78"/>
    <x v="1"/>
    <n v="12"/>
    <x v="0"/>
    <n v="37"/>
    <x v="0"/>
    <x v="0"/>
    <x v="1"/>
    <x v="0"/>
    <x v="3"/>
    <x v="29"/>
    <n v="1"/>
    <n v="530"/>
    <x v="8"/>
    <n v="840"/>
    <n v="530"/>
    <n v="310"/>
    <n v="0.36904761904761907"/>
    <x v="2"/>
  </r>
  <r>
    <x v="88"/>
    <x v="1"/>
    <n v="12"/>
    <x v="1"/>
    <n v="37"/>
    <x v="0"/>
    <x v="3"/>
    <x v="13"/>
    <x v="0"/>
    <x v="3"/>
    <x v="36"/>
    <n v="1"/>
    <n v="500"/>
    <x v="5"/>
    <n v="800"/>
    <n v="500"/>
    <n v="300"/>
    <n v="0.375"/>
    <x v="2"/>
  </r>
  <r>
    <x v="18"/>
    <x v="1"/>
    <n v="12"/>
    <x v="3"/>
    <n v="37"/>
    <x v="1"/>
    <x v="2"/>
    <x v="5"/>
    <x v="1"/>
    <x v="2"/>
    <x v="20"/>
    <n v="2"/>
    <n v="550"/>
    <x v="2"/>
    <n v="1700"/>
    <n v="1100"/>
    <n v="600"/>
    <n v="0.35294117647058826"/>
    <x v="2"/>
  </r>
  <r>
    <x v="9"/>
    <x v="1"/>
    <n v="12"/>
    <x v="4"/>
    <n v="37"/>
    <x v="0"/>
    <x v="2"/>
    <x v="9"/>
    <x v="1"/>
    <x v="0"/>
    <x v="25"/>
    <n v="4"/>
    <n v="550"/>
    <x v="2"/>
    <n v="3400"/>
    <n v="2200"/>
    <n v="1200"/>
    <n v="0.35294117647058826"/>
    <x v="2"/>
  </r>
  <r>
    <x v="27"/>
    <x v="1"/>
    <n v="12"/>
    <x v="2"/>
    <n v="37"/>
    <x v="1"/>
    <x v="1"/>
    <x v="17"/>
    <x v="0"/>
    <x v="1"/>
    <x v="16"/>
    <n v="1"/>
    <n v="900"/>
    <x v="3"/>
    <n v="1400"/>
    <n v="900"/>
    <n v="500"/>
    <n v="0.35714285714285715"/>
    <x v="2"/>
  </r>
  <r>
    <x v="28"/>
    <x v="1"/>
    <n v="12"/>
    <x v="3"/>
    <n v="37"/>
    <x v="1"/>
    <x v="0"/>
    <x v="0"/>
    <x v="1"/>
    <x v="2"/>
    <x v="20"/>
    <n v="1"/>
    <n v="550"/>
    <x v="2"/>
    <n v="850"/>
    <n v="550"/>
    <n v="300"/>
    <n v="0.35294117647058826"/>
    <x v="2"/>
  </r>
  <r>
    <x v="63"/>
    <x v="1"/>
    <n v="12"/>
    <x v="6"/>
    <n v="37"/>
    <x v="1"/>
    <x v="3"/>
    <x v="12"/>
    <x v="1"/>
    <x v="2"/>
    <x v="20"/>
    <n v="3"/>
    <n v="550"/>
    <x v="2"/>
    <n v="2550"/>
    <n v="1650"/>
    <n v="900"/>
    <n v="0.35294117647058826"/>
    <x v="2"/>
  </r>
  <r>
    <x v="71"/>
    <x v="1"/>
    <n v="12"/>
    <x v="0"/>
    <n v="37"/>
    <x v="0"/>
    <x v="4"/>
    <x v="11"/>
    <x v="0"/>
    <x v="0"/>
    <x v="22"/>
    <n v="2"/>
    <n v="700"/>
    <x v="0"/>
    <n v="2200"/>
    <n v="1400"/>
    <n v="800"/>
    <n v="0.36363636363636365"/>
    <x v="2"/>
  </r>
  <r>
    <x v="80"/>
    <x v="2"/>
    <n v="10"/>
    <x v="6"/>
    <n v="38"/>
    <x v="1"/>
    <x v="5"/>
    <x v="16"/>
    <x v="0"/>
    <x v="1"/>
    <x v="27"/>
    <n v="1"/>
    <n v="580"/>
    <x v="4"/>
    <n v="920"/>
    <n v="580"/>
    <n v="340"/>
    <n v="0.36956521739130432"/>
    <x v="2"/>
  </r>
  <r>
    <x v="84"/>
    <x v="2"/>
    <n v="10"/>
    <x v="4"/>
    <n v="38"/>
    <x v="1"/>
    <x v="0"/>
    <x v="0"/>
    <x v="0"/>
    <x v="1"/>
    <x v="8"/>
    <n v="1"/>
    <n v="580"/>
    <x v="4"/>
    <n v="920"/>
    <n v="580"/>
    <n v="340"/>
    <n v="0.36956521739130432"/>
    <x v="2"/>
  </r>
  <r>
    <x v="34"/>
    <x v="2"/>
    <n v="10"/>
    <x v="0"/>
    <n v="38"/>
    <x v="0"/>
    <x v="5"/>
    <x v="16"/>
    <x v="1"/>
    <x v="2"/>
    <x v="40"/>
    <n v="1"/>
    <n v="550"/>
    <x v="2"/>
    <n v="850"/>
    <n v="550"/>
    <n v="300"/>
    <n v="0.35294117647058826"/>
    <x v="2"/>
  </r>
  <r>
    <x v="34"/>
    <x v="2"/>
    <n v="10"/>
    <x v="0"/>
    <n v="38"/>
    <x v="0"/>
    <x v="5"/>
    <x v="16"/>
    <x v="0"/>
    <x v="0"/>
    <x v="10"/>
    <n v="1"/>
    <n v="580"/>
    <x v="4"/>
    <n v="920"/>
    <n v="580"/>
    <n v="340"/>
    <n v="0.36956521739130432"/>
    <x v="2"/>
  </r>
  <r>
    <x v="90"/>
    <x v="2"/>
    <n v="10"/>
    <x v="4"/>
    <n v="38"/>
    <x v="0"/>
    <x v="5"/>
    <x v="16"/>
    <x v="0"/>
    <x v="0"/>
    <x v="10"/>
    <n v="3"/>
    <n v="580"/>
    <x v="4"/>
    <n v="2760"/>
    <n v="1740"/>
    <n v="1020"/>
    <n v="0.36956521739130432"/>
    <x v="2"/>
  </r>
  <r>
    <x v="10"/>
    <x v="2"/>
    <n v="10"/>
    <x v="5"/>
    <n v="38"/>
    <x v="0"/>
    <x v="5"/>
    <x v="16"/>
    <x v="1"/>
    <x v="2"/>
    <x v="40"/>
    <n v="1"/>
    <n v="550"/>
    <x v="2"/>
    <n v="850"/>
    <n v="550"/>
    <n v="300"/>
    <n v="0.35294117647058826"/>
    <x v="2"/>
  </r>
  <r>
    <x v="82"/>
    <x v="2"/>
    <n v="10"/>
    <x v="6"/>
    <n v="38"/>
    <x v="1"/>
    <x v="5"/>
    <x v="16"/>
    <x v="0"/>
    <x v="1"/>
    <x v="27"/>
    <n v="1"/>
    <n v="580"/>
    <x v="4"/>
    <n v="920"/>
    <n v="580"/>
    <n v="340"/>
    <n v="0.36956521739130432"/>
    <x v="2"/>
  </r>
  <r>
    <x v="43"/>
    <x v="2"/>
    <n v="10"/>
    <x v="2"/>
    <n v="38"/>
    <x v="1"/>
    <x v="5"/>
    <x v="16"/>
    <x v="0"/>
    <x v="1"/>
    <x v="4"/>
    <n v="1"/>
    <n v="900"/>
    <x v="3"/>
    <n v="1400"/>
    <n v="900"/>
    <n v="500"/>
    <n v="0.35714285714285715"/>
    <x v="2"/>
  </r>
  <r>
    <x v="13"/>
    <x v="0"/>
    <n v="11"/>
    <x v="6"/>
    <n v="38"/>
    <x v="1"/>
    <x v="0"/>
    <x v="2"/>
    <x v="1"/>
    <x v="0"/>
    <x v="25"/>
    <n v="2"/>
    <n v="550"/>
    <x v="2"/>
    <n v="1700"/>
    <n v="1100"/>
    <n v="600"/>
    <n v="0.35294117647058826"/>
    <x v="2"/>
  </r>
  <r>
    <x v="56"/>
    <x v="0"/>
    <n v="11"/>
    <x v="6"/>
    <n v="38"/>
    <x v="0"/>
    <x v="1"/>
    <x v="15"/>
    <x v="0"/>
    <x v="3"/>
    <x v="29"/>
    <n v="1"/>
    <n v="530"/>
    <x v="8"/>
    <n v="840"/>
    <n v="530"/>
    <n v="310"/>
    <n v="0.36904761904761907"/>
    <x v="2"/>
  </r>
  <r>
    <x v="25"/>
    <x v="1"/>
    <n v="12"/>
    <x v="1"/>
    <n v="38"/>
    <x v="0"/>
    <x v="2"/>
    <x v="7"/>
    <x v="1"/>
    <x v="2"/>
    <x v="40"/>
    <n v="2"/>
    <n v="550"/>
    <x v="2"/>
    <n v="1700"/>
    <n v="1100"/>
    <n v="600"/>
    <n v="0.35294117647058826"/>
    <x v="2"/>
  </r>
  <r>
    <x v="48"/>
    <x v="1"/>
    <n v="12"/>
    <x v="3"/>
    <n v="38"/>
    <x v="0"/>
    <x v="0"/>
    <x v="1"/>
    <x v="1"/>
    <x v="0"/>
    <x v="25"/>
    <n v="1"/>
    <n v="550"/>
    <x v="2"/>
    <n v="850"/>
    <n v="550"/>
    <n v="300"/>
    <n v="0.35294117647058826"/>
    <x v="2"/>
  </r>
  <r>
    <x v="15"/>
    <x v="1"/>
    <n v="12"/>
    <x v="6"/>
    <n v="38"/>
    <x v="1"/>
    <x v="2"/>
    <x v="7"/>
    <x v="1"/>
    <x v="2"/>
    <x v="20"/>
    <n v="1"/>
    <n v="550"/>
    <x v="2"/>
    <n v="850"/>
    <n v="550"/>
    <n v="300"/>
    <n v="0.35294117647058826"/>
    <x v="2"/>
  </r>
  <r>
    <x v="16"/>
    <x v="1"/>
    <n v="12"/>
    <x v="4"/>
    <n v="38"/>
    <x v="1"/>
    <x v="2"/>
    <x v="5"/>
    <x v="1"/>
    <x v="2"/>
    <x v="40"/>
    <n v="1"/>
    <n v="550"/>
    <x v="2"/>
    <n v="850"/>
    <n v="550"/>
    <n v="300"/>
    <n v="0.35294117647058826"/>
    <x v="2"/>
  </r>
  <r>
    <x v="17"/>
    <x v="1"/>
    <n v="12"/>
    <x v="2"/>
    <n v="38"/>
    <x v="0"/>
    <x v="0"/>
    <x v="1"/>
    <x v="1"/>
    <x v="0"/>
    <x v="25"/>
    <n v="2"/>
    <n v="550"/>
    <x v="2"/>
    <n v="1700"/>
    <n v="1100"/>
    <n v="600"/>
    <n v="0.35294117647058826"/>
    <x v="2"/>
  </r>
  <r>
    <x v="58"/>
    <x v="1"/>
    <n v="12"/>
    <x v="6"/>
    <n v="38"/>
    <x v="1"/>
    <x v="3"/>
    <x v="12"/>
    <x v="1"/>
    <x v="2"/>
    <x v="3"/>
    <n v="4"/>
    <n v="550"/>
    <x v="2"/>
    <n v="3400"/>
    <n v="2200"/>
    <n v="1200"/>
    <n v="0.35294117647058826"/>
    <x v="2"/>
  </r>
  <r>
    <x v="9"/>
    <x v="1"/>
    <n v="12"/>
    <x v="4"/>
    <n v="38"/>
    <x v="0"/>
    <x v="0"/>
    <x v="1"/>
    <x v="0"/>
    <x v="3"/>
    <x v="17"/>
    <n v="1"/>
    <n v="500"/>
    <x v="5"/>
    <n v="800"/>
    <n v="500"/>
    <n v="300"/>
    <n v="0.375"/>
    <x v="2"/>
  </r>
  <r>
    <x v="28"/>
    <x v="1"/>
    <n v="12"/>
    <x v="3"/>
    <n v="38"/>
    <x v="0"/>
    <x v="0"/>
    <x v="2"/>
    <x v="1"/>
    <x v="0"/>
    <x v="41"/>
    <n v="4"/>
    <n v="550"/>
    <x v="2"/>
    <n v="3400"/>
    <n v="2200"/>
    <n v="1200"/>
    <n v="0.35294117647058826"/>
    <x v="2"/>
  </r>
  <r>
    <x v="63"/>
    <x v="1"/>
    <n v="12"/>
    <x v="6"/>
    <n v="38"/>
    <x v="1"/>
    <x v="0"/>
    <x v="0"/>
    <x v="1"/>
    <x v="2"/>
    <x v="20"/>
    <n v="2"/>
    <n v="550"/>
    <x v="2"/>
    <n v="1700"/>
    <n v="1100"/>
    <n v="600"/>
    <n v="0.35294117647058826"/>
    <x v="2"/>
  </r>
  <r>
    <x v="59"/>
    <x v="1"/>
    <n v="12"/>
    <x v="4"/>
    <n v="38"/>
    <x v="1"/>
    <x v="0"/>
    <x v="2"/>
    <x v="1"/>
    <x v="0"/>
    <x v="25"/>
    <n v="3"/>
    <n v="550"/>
    <x v="2"/>
    <n v="2550"/>
    <n v="1650"/>
    <n v="900"/>
    <n v="0.35294117647058826"/>
    <x v="2"/>
  </r>
  <r>
    <x v="71"/>
    <x v="1"/>
    <n v="12"/>
    <x v="0"/>
    <n v="38"/>
    <x v="0"/>
    <x v="0"/>
    <x v="0"/>
    <x v="1"/>
    <x v="2"/>
    <x v="40"/>
    <n v="1"/>
    <n v="550"/>
    <x v="2"/>
    <n v="850"/>
    <n v="550"/>
    <n v="300"/>
    <n v="0.35294117647058826"/>
    <x v="2"/>
  </r>
  <r>
    <x v="66"/>
    <x v="2"/>
    <n v="10"/>
    <x v="1"/>
    <n v="39"/>
    <x v="1"/>
    <x v="0"/>
    <x v="2"/>
    <x v="0"/>
    <x v="3"/>
    <x v="23"/>
    <n v="1"/>
    <n v="530"/>
    <x v="8"/>
    <n v="840"/>
    <n v="530"/>
    <n v="310"/>
    <n v="0.36904761904761907"/>
    <x v="2"/>
  </r>
  <r>
    <x v="69"/>
    <x v="2"/>
    <n v="10"/>
    <x v="5"/>
    <n v="39"/>
    <x v="0"/>
    <x v="5"/>
    <x v="16"/>
    <x v="0"/>
    <x v="1"/>
    <x v="43"/>
    <n v="2"/>
    <n v="900"/>
    <x v="3"/>
    <n v="2800"/>
    <n v="1800"/>
    <n v="1000"/>
    <n v="0.35714285714285715"/>
    <x v="2"/>
  </r>
  <r>
    <x v="20"/>
    <x v="2"/>
    <n v="10"/>
    <x v="4"/>
    <n v="39"/>
    <x v="1"/>
    <x v="0"/>
    <x v="0"/>
    <x v="0"/>
    <x v="1"/>
    <x v="4"/>
    <n v="1"/>
    <n v="900"/>
    <x v="3"/>
    <n v="1400"/>
    <n v="900"/>
    <n v="500"/>
    <n v="0.35714285714285715"/>
    <x v="2"/>
  </r>
  <r>
    <x v="37"/>
    <x v="2"/>
    <n v="10"/>
    <x v="4"/>
    <n v="39"/>
    <x v="1"/>
    <x v="5"/>
    <x v="16"/>
    <x v="0"/>
    <x v="0"/>
    <x v="0"/>
    <n v="1"/>
    <n v="700"/>
    <x v="0"/>
    <n v="1100"/>
    <n v="700"/>
    <n v="400"/>
    <n v="0.36363636363636365"/>
    <x v="2"/>
  </r>
  <r>
    <x v="2"/>
    <x v="0"/>
    <n v="11"/>
    <x v="0"/>
    <n v="39"/>
    <x v="0"/>
    <x v="0"/>
    <x v="0"/>
    <x v="1"/>
    <x v="2"/>
    <x v="51"/>
    <n v="1"/>
    <n v="450"/>
    <x v="7"/>
    <n v="720"/>
    <n v="450"/>
    <n v="270"/>
    <n v="0.375"/>
    <x v="2"/>
  </r>
  <r>
    <x v="30"/>
    <x v="0"/>
    <n v="11"/>
    <x v="5"/>
    <n v="39"/>
    <x v="1"/>
    <x v="5"/>
    <x v="16"/>
    <x v="0"/>
    <x v="0"/>
    <x v="0"/>
    <n v="3"/>
    <n v="700"/>
    <x v="0"/>
    <n v="3300"/>
    <n v="2100"/>
    <n v="1200"/>
    <n v="0.36363636363636365"/>
    <x v="2"/>
  </r>
  <r>
    <x v="3"/>
    <x v="0"/>
    <n v="11"/>
    <x v="2"/>
    <n v="39"/>
    <x v="0"/>
    <x v="1"/>
    <x v="15"/>
    <x v="0"/>
    <x v="3"/>
    <x v="11"/>
    <n v="3"/>
    <n v="500"/>
    <x v="5"/>
    <n v="2400"/>
    <n v="1500"/>
    <n v="900"/>
    <n v="0.375"/>
    <x v="2"/>
  </r>
  <r>
    <x v="3"/>
    <x v="0"/>
    <n v="11"/>
    <x v="2"/>
    <n v="39"/>
    <x v="0"/>
    <x v="5"/>
    <x v="16"/>
    <x v="0"/>
    <x v="1"/>
    <x v="43"/>
    <n v="1"/>
    <n v="900"/>
    <x v="3"/>
    <n v="1400"/>
    <n v="900"/>
    <n v="500"/>
    <n v="0.35714285714285715"/>
    <x v="2"/>
  </r>
  <r>
    <x v="39"/>
    <x v="0"/>
    <n v="11"/>
    <x v="3"/>
    <n v="39"/>
    <x v="1"/>
    <x v="5"/>
    <x v="16"/>
    <x v="0"/>
    <x v="0"/>
    <x v="0"/>
    <n v="1"/>
    <n v="700"/>
    <x v="0"/>
    <n v="1100"/>
    <n v="700"/>
    <n v="400"/>
    <n v="0.36363636363636365"/>
    <x v="2"/>
  </r>
  <r>
    <x v="13"/>
    <x v="0"/>
    <n v="11"/>
    <x v="6"/>
    <n v="39"/>
    <x v="1"/>
    <x v="3"/>
    <x v="13"/>
    <x v="1"/>
    <x v="2"/>
    <x v="20"/>
    <n v="1"/>
    <n v="550"/>
    <x v="2"/>
    <n v="850"/>
    <n v="550"/>
    <n v="300"/>
    <n v="0.35294117647058826"/>
    <x v="2"/>
  </r>
  <r>
    <x v="40"/>
    <x v="0"/>
    <n v="11"/>
    <x v="5"/>
    <n v="39"/>
    <x v="1"/>
    <x v="0"/>
    <x v="0"/>
    <x v="0"/>
    <x v="1"/>
    <x v="4"/>
    <n v="1"/>
    <n v="900"/>
    <x v="3"/>
    <n v="1400"/>
    <n v="900"/>
    <n v="500"/>
    <n v="0.35714285714285715"/>
    <x v="2"/>
  </r>
  <r>
    <x v="56"/>
    <x v="0"/>
    <n v="11"/>
    <x v="6"/>
    <n v="39"/>
    <x v="1"/>
    <x v="1"/>
    <x v="4"/>
    <x v="0"/>
    <x v="3"/>
    <x v="37"/>
    <n v="3"/>
    <n v="530"/>
    <x v="8"/>
    <n v="2520"/>
    <n v="1590"/>
    <n v="930"/>
    <n v="0.36904761904761907"/>
    <x v="2"/>
  </r>
  <r>
    <x v="33"/>
    <x v="1"/>
    <n v="12"/>
    <x v="5"/>
    <n v="39"/>
    <x v="1"/>
    <x v="2"/>
    <x v="7"/>
    <x v="1"/>
    <x v="0"/>
    <x v="15"/>
    <n v="4"/>
    <n v="550"/>
    <x v="2"/>
    <n v="3400"/>
    <n v="2200"/>
    <n v="1200"/>
    <n v="0.35294117647058826"/>
    <x v="2"/>
  </r>
  <r>
    <x v="83"/>
    <x v="1"/>
    <n v="12"/>
    <x v="2"/>
    <n v="39"/>
    <x v="1"/>
    <x v="5"/>
    <x v="16"/>
    <x v="0"/>
    <x v="0"/>
    <x v="0"/>
    <n v="4"/>
    <n v="700"/>
    <x v="0"/>
    <n v="4400"/>
    <n v="2800"/>
    <n v="1600"/>
    <n v="0.36363636363636365"/>
    <x v="2"/>
  </r>
  <r>
    <x v="77"/>
    <x v="1"/>
    <n v="12"/>
    <x v="4"/>
    <n v="39"/>
    <x v="1"/>
    <x v="2"/>
    <x v="7"/>
    <x v="1"/>
    <x v="0"/>
    <x v="15"/>
    <n v="4"/>
    <n v="550"/>
    <x v="2"/>
    <n v="3400"/>
    <n v="2200"/>
    <n v="1200"/>
    <n v="0.35294117647058826"/>
    <x v="2"/>
  </r>
  <r>
    <x v="26"/>
    <x v="1"/>
    <n v="12"/>
    <x v="5"/>
    <n v="39"/>
    <x v="1"/>
    <x v="2"/>
    <x v="9"/>
    <x v="1"/>
    <x v="0"/>
    <x v="41"/>
    <n v="2"/>
    <n v="550"/>
    <x v="2"/>
    <n v="1700"/>
    <n v="1100"/>
    <n v="600"/>
    <n v="0.35294117647058826"/>
    <x v="2"/>
  </r>
  <r>
    <x v="58"/>
    <x v="1"/>
    <n v="12"/>
    <x v="6"/>
    <n v="39"/>
    <x v="0"/>
    <x v="2"/>
    <x v="7"/>
    <x v="1"/>
    <x v="0"/>
    <x v="41"/>
    <n v="3"/>
    <n v="550"/>
    <x v="2"/>
    <n v="2550"/>
    <n v="1650"/>
    <n v="900"/>
    <n v="0.35294117647058826"/>
    <x v="2"/>
  </r>
  <r>
    <x v="9"/>
    <x v="1"/>
    <n v="12"/>
    <x v="4"/>
    <n v="39"/>
    <x v="1"/>
    <x v="2"/>
    <x v="7"/>
    <x v="1"/>
    <x v="0"/>
    <x v="15"/>
    <n v="4"/>
    <n v="550"/>
    <x v="2"/>
    <n v="3400"/>
    <n v="2200"/>
    <n v="1200"/>
    <n v="0.35294117647058826"/>
    <x v="2"/>
  </r>
  <r>
    <x v="9"/>
    <x v="1"/>
    <n v="12"/>
    <x v="4"/>
    <n v="39"/>
    <x v="1"/>
    <x v="2"/>
    <x v="5"/>
    <x v="1"/>
    <x v="2"/>
    <x v="20"/>
    <n v="1"/>
    <n v="550"/>
    <x v="2"/>
    <n v="850"/>
    <n v="550"/>
    <n v="300"/>
    <n v="0.35294117647058826"/>
    <x v="2"/>
  </r>
  <r>
    <x v="29"/>
    <x v="1"/>
    <n v="12"/>
    <x v="1"/>
    <n v="39"/>
    <x v="1"/>
    <x v="2"/>
    <x v="7"/>
    <x v="1"/>
    <x v="0"/>
    <x v="15"/>
    <n v="1"/>
    <n v="550"/>
    <x v="2"/>
    <n v="850"/>
    <n v="550"/>
    <n v="300"/>
    <n v="0.35294117647058826"/>
    <x v="2"/>
  </r>
  <r>
    <x v="72"/>
    <x v="2"/>
    <n v="10"/>
    <x v="3"/>
    <n v="40"/>
    <x v="1"/>
    <x v="0"/>
    <x v="2"/>
    <x v="0"/>
    <x v="3"/>
    <x v="37"/>
    <n v="2"/>
    <n v="530"/>
    <x v="8"/>
    <n v="1680"/>
    <n v="1060"/>
    <n v="620"/>
    <n v="0.36904761904761907"/>
    <x v="2"/>
  </r>
  <r>
    <x v="85"/>
    <x v="2"/>
    <n v="10"/>
    <x v="1"/>
    <n v="40"/>
    <x v="0"/>
    <x v="3"/>
    <x v="12"/>
    <x v="0"/>
    <x v="1"/>
    <x v="8"/>
    <n v="1"/>
    <n v="580"/>
    <x v="4"/>
    <n v="920"/>
    <n v="580"/>
    <n v="340"/>
    <n v="0.36956521739130432"/>
    <x v="2"/>
  </r>
  <r>
    <x v="10"/>
    <x v="2"/>
    <n v="10"/>
    <x v="5"/>
    <n v="40"/>
    <x v="0"/>
    <x v="0"/>
    <x v="2"/>
    <x v="0"/>
    <x v="0"/>
    <x v="24"/>
    <n v="4"/>
    <n v="580"/>
    <x v="4"/>
    <n v="3680"/>
    <n v="2320"/>
    <n v="1360"/>
    <n v="0.36956521739130432"/>
    <x v="2"/>
  </r>
  <r>
    <x v="10"/>
    <x v="2"/>
    <n v="10"/>
    <x v="5"/>
    <n v="40"/>
    <x v="1"/>
    <x v="0"/>
    <x v="1"/>
    <x v="0"/>
    <x v="0"/>
    <x v="10"/>
    <n v="3"/>
    <n v="580"/>
    <x v="4"/>
    <n v="2760"/>
    <n v="1740"/>
    <n v="1020"/>
    <n v="0.36956521739130432"/>
    <x v="2"/>
  </r>
  <r>
    <x v="45"/>
    <x v="2"/>
    <n v="10"/>
    <x v="1"/>
    <n v="40"/>
    <x v="0"/>
    <x v="0"/>
    <x v="0"/>
    <x v="1"/>
    <x v="0"/>
    <x v="41"/>
    <n v="3"/>
    <n v="550"/>
    <x v="2"/>
    <n v="2550"/>
    <n v="1650"/>
    <n v="900"/>
    <n v="0.35294117647058826"/>
    <x v="2"/>
  </r>
  <r>
    <x v="76"/>
    <x v="2"/>
    <n v="10"/>
    <x v="3"/>
    <n v="40"/>
    <x v="1"/>
    <x v="3"/>
    <x v="14"/>
    <x v="0"/>
    <x v="1"/>
    <x v="52"/>
    <n v="1"/>
    <n v="620"/>
    <x v="1"/>
    <n v="980"/>
    <n v="620"/>
    <n v="360"/>
    <n v="0.36734693877551022"/>
    <x v="2"/>
  </r>
  <r>
    <x v="21"/>
    <x v="0"/>
    <n v="11"/>
    <x v="6"/>
    <n v="40"/>
    <x v="1"/>
    <x v="0"/>
    <x v="10"/>
    <x v="1"/>
    <x v="2"/>
    <x v="40"/>
    <n v="2"/>
    <n v="550"/>
    <x v="2"/>
    <n v="1700"/>
    <n v="1100"/>
    <n v="600"/>
    <n v="0.35294117647058826"/>
    <x v="2"/>
  </r>
  <r>
    <x v="21"/>
    <x v="0"/>
    <n v="11"/>
    <x v="6"/>
    <n v="40"/>
    <x v="1"/>
    <x v="0"/>
    <x v="1"/>
    <x v="0"/>
    <x v="0"/>
    <x v="10"/>
    <n v="1"/>
    <n v="580"/>
    <x v="4"/>
    <n v="920"/>
    <n v="580"/>
    <n v="340"/>
    <n v="0.36956521739130432"/>
    <x v="2"/>
  </r>
  <r>
    <x v="2"/>
    <x v="0"/>
    <n v="11"/>
    <x v="0"/>
    <n v="40"/>
    <x v="0"/>
    <x v="0"/>
    <x v="1"/>
    <x v="0"/>
    <x v="1"/>
    <x v="8"/>
    <n v="1"/>
    <n v="580"/>
    <x v="4"/>
    <n v="920"/>
    <n v="580"/>
    <n v="340"/>
    <n v="0.36956521739130432"/>
    <x v="2"/>
  </r>
  <r>
    <x v="23"/>
    <x v="0"/>
    <n v="11"/>
    <x v="0"/>
    <n v="40"/>
    <x v="0"/>
    <x v="5"/>
    <x v="16"/>
    <x v="0"/>
    <x v="0"/>
    <x v="22"/>
    <n v="1"/>
    <n v="700"/>
    <x v="0"/>
    <n v="1100"/>
    <n v="700"/>
    <n v="400"/>
    <n v="0.36363636363636365"/>
    <x v="2"/>
  </r>
  <r>
    <x v="31"/>
    <x v="0"/>
    <n v="11"/>
    <x v="1"/>
    <n v="40"/>
    <x v="1"/>
    <x v="3"/>
    <x v="14"/>
    <x v="1"/>
    <x v="0"/>
    <x v="25"/>
    <n v="3"/>
    <n v="550"/>
    <x v="2"/>
    <n v="2550"/>
    <n v="1650"/>
    <n v="900"/>
    <n v="0.35294117647058826"/>
    <x v="2"/>
  </r>
  <r>
    <x v="13"/>
    <x v="0"/>
    <n v="11"/>
    <x v="6"/>
    <n v="40"/>
    <x v="1"/>
    <x v="3"/>
    <x v="6"/>
    <x v="1"/>
    <x v="2"/>
    <x v="40"/>
    <n v="4"/>
    <n v="550"/>
    <x v="2"/>
    <n v="3400"/>
    <n v="2200"/>
    <n v="1200"/>
    <n v="0.35294117647058826"/>
    <x v="2"/>
  </r>
  <r>
    <x v="13"/>
    <x v="0"/>
    <n v="11"/>
    <x v="6"/>
    <n v="40"/>
    <x v="1"/>
    <x v="0"/>
    <x v="2"/>
    <x v="0"/>
    <x v="3"/>
    <x v="37"/>
    <n v="4"/>
    <n v="530"/>
    <x v="8"/>
    <n v="3360"/>
    <n v="2120"/>
    <n v="1240"/>
    <n v="0.36904761904761907"/>
    <x v="2"/>
  </r>
  <r>
    <x v="32"/>
    <x v="0"/>
    <n v="11"/>
    <x v="4"/>
    <n v="40"/>
    <x v="1"/>
    <x v="0"/>
    <x v="2"/>
    <x v="1"/>
    <x v="0"/>
    <x v="25"/>
    <n v="2"/>
    <n v="550"/>
    <x v="2"/>
    <n v="1700"/>
    <n v="1100"/>
    <n v="600"/>
    <n v="0.35294117647058826"/>
    <x v="2"/>
  </r>
  <r>
    <x v="26"/>
    <x v="1"/>
    <n v="12"/>
    <x v="5"/>
    <n v="40"/>
    <x v="0"/>
    <x v="0"/>
    <x v="1"/>
    <x v="0"/>
    <x v="1"/>
    <x v="8"/>
    <n v="4"/>
    <n v="580"/>
    <x v="4"/>
    <n v="3680"/>
    <n v="2320"/>
    <n v="1360"/>
    <n v="0.36956521739130432"/>
    <x v="2"/>
  </r>
  <r>
    <x v="48"/>
    <x v="1"/>
    <n v="12"/>
    <x v="3"/>
    <n v="40"/>
    <x v="0"/>
    <x v="0"/>
    <x v="1"/>
    <x v="1"/>
    <x v="0"/>
    <x v="41"/>
    <n v="2"/>
    <n v="550"/>
    <x v="2"/>
    <n v="1700"/>
    <n v="1100"/>
    <n v="600"/>
    <n v="0.35294117647058826"/>
    <x v="2"/>
  </r>
  <r>
    <x v="78"/>
    <x v="1"/>
    <n v="12"/>
    <x v="0"/>
    <n v="40"/>
    <x v="1"/>
    <x v="2"/>
    <x v="7"/>
    <x v="1"/>
    <x v="2"/>
    <x v="58"/>
    <n v="1"/>
    <n v="480"/>
    <x v="6"/>
    <n v="760"/>
    <n v="480"/>
    <n v="280"/>
    <n v="0.36842105263157893"/>
    <x v="2"/>
  </r>
  <r>
    <x v="88"/>
    <x v="1"/>
    <n v="12"/>
    <x v="1"/>
    <n v="40"/>
    <x v="1"/>
    <x v="3"/>
    <x v="8"/>
    <x v="0"/>
    <x v="1"/>
    <x v="43"/>
    <n v="1"/>
    <n v="900"/>
    <x v="3"/>
    <n v="1400"/>
    <n v="900"/>
    <n v="500"/>
    <n v="0.35714285714285715"/>
    <x v="2"/>
  </r>
  <r>
    <x v="18"/>
    <x v="1"/>
    <n v="12"/>
    <x v="3"/>
    <n v="40"/>
    <x v="1"/>
    <x v="2"/>
    <x v="7"/>
    <x v="0"/>
    <x v="0"/>
    <x v="14"/>
    <n v="1"/>
    <n v="580"/>
    <x v="4"/>
    <n v="920"/>
    <n v="580"/>
    <n v="340"/>
    <n v="0.36956521739130432"/>
    <x v="2"/>
  </r>
  <r>
    <x v="19"/>
    <x v="1"/>
    <n v="12"/>
    <x v="5"/>
    <n v="40"/>
    <x v="1"/>
    <x v="5"/>
    <x v="16"/>
    <x v="0"/>
    <x v="0"/>
    <x v="7"/>
    <n v="3"/>
    <n v="700"/>
    <x v="0"/>
    <n v="3300"/>
    <n v="2100"/>
    <n v="1200"/>
    <n v="0.36363636363636365"/>
    <x v="2"/>
  </r>
  <r>
    <x v="28"/>
    <x v="1"/>
    <n v="12"/>
    <x v="3"/>
    <n v="40"/>
    <x v="1"/>
    <x v="3"/>
    <x v="8"/>
    <x v="1"/>
    <x v="0"/>
    <x v="15"/>
    <n v="1"/>
    <n v="550"/>
    <x v="2"/>
    <n v="850"/>
    <n v="550"/>
    <n v="300"/>
    <n v="0.35294117647058826"/>
    <x v="2"/>
  </r>
  <r>
    <x v="89"/>
    <x v="2"/>
    <n v="10"/>
    <x v="2"/>
    <n v="41"/>
    <x v="0"/>
    <x v="0"/>
    <x v="2"/>
    <x v="0"/>
    <x v="0"/>
    <x v="24"/>
    <n v="1"/>
    <n v="580"/>
    <x v="4"/>
    <n v="920"/>
    <n v="580"/>
    <n v="340"/>
    <n v="0.36956521739130432"/>
    <x v="2"/>
  </r>
  <r>
    <x v="35"/>
    <x v="2"/>
    <n v="10"/>
    <x v="3"/>
    <n v="41"/>
    <x v="1"/>
    <x v="0"/>
    <x v="1"/>
    <x v="1"/>
    <x v="2"/>
    <x v="49"/>
    <n v="4"/>
    <n v="450"/>
    <x v="7"/>
    <n v="2880"/>
    <n v="1800"/>
    <n v="1080"/>
    <n v="0.375"/>
    <x v="2"/>
  </r>
  <r>
    <x v="35"/>
    <x v="2"/>
    <n v="10"/>
    <x v="3"/>
    <n v="41"/>
    <x v="0"/>
    <x v="0"/>
    <x v="10"/>
    <x v="0"/>
    <x v="0"/>
    <x v="24"/>
    <n v="3"/>
    <n v="580"/>
    <x v="4"/>
    <n v="2760"/>
    <n v="1740"/>
    <n v="1020"/>
    <n v="0.36956521739130432"/>
    <x v="2"/>
  </r>
  <r>
    <x v="66"/>
    <x v="2"/>
    <n v="10"/>
    <x v="1"/>
    <n v="41"/>
    <x v="0"/>
    <x v="0"/>
    <x v="1"/>
    <x v="0"/>
    <x v="0"/>
    <x v="0"/>
    <n v="4"/>
    <n v="700"/>
    <x v="0"/>
    <n v="4400"/>
    <n v="2800"/>
    <n v="1600"/>
    <n v="0.36363636363636365"/>
    <x v="2"/>
  </r>
  <r>
    <x v="66"/>
    <x v="2"/>
    <n v="10"/>
    <x v="1"/>
    <n v="41"/>
    <x v="0"/>
    <x v="3"/>
    <x v="6"/>
    <x v="0"/>
    <x v="0"/>
    <x v="48"/>
    <n v="2"/>
    <n v="620"/>
    <x v="1"/>
    <n v="1960"/>
    <n v="1240"/>
    <n v="720"/>
    <n v="0.36734693877551022"/>
    <x v="2"/>
  </r>
  <r>
    <x v="53"/>
    <x v="2"/>
    <n v="10"/>
    <x v="3"/>
    <n v="41"/>
    <x v="0"/>
    <x v="0"/>
    <x v="2"/>
    <x v="0"/>
    <x v="0"/>
    <x v="24"/>
    <n v="4"/>
    <n v="580"/>
    <x v="4"/>
    <n v="3680"/>
    <n v="2320"/>
    <n v="1360"/>
    <n v="0.36956521739130432"/>
    <x v="2"/>
  </r>
  <r>
    <x v="68"/>
    <x v="2"/>
    <n v="10"/>
    <x v="1"/>
    <n v="41"/>
    <x v="1"/>
    <x v="4"/>
    <x v="11"/>
    <x v="1"/>
    <x v="0"/>
    <x v="25"/>
    <n v="2"/>
    <n v="550"/>
    <x v="2"/>
    <n v="1700"/>
    <n v="1100"/>
    <n v="600"/>
    <n v="0.35294117647058826"/>
    <x v="2"/>
  </r>
  <r>
    <x v="68"/>
    <x v="2"/>
    <n v="10"/>
    <x v="1"/>
    <n v="41"/>
    <x v="0"/>
    <x v="0"/>
    <x v="0"/>
    <x v="0"/>
    <x v="1"/>
    <x v="8"/>
    <n v="1"/>
    <n v="580"/>
    <x v="4"/>
    <n v="920"/>
    <n v="580"/>
    <n v="340"/>
    <n v="0.36956521739130432"/>
    <x v="2"/>
  </r>
  <r>
    <x v="20"/>
    <x v="2"/>
    <n v="10"/>
    <x v="4"/>
    <n v="41"/>
    <x v="1"/>
    <x v="4"/>
    <x v="11"/>
    <x v="1"/>
    <x v="0"/>
    <x v="25"/>
    <n v="2"/>
    <n v="550"/>
    <x v="2"/>
    <n v="1700"/>
    <n v="1100"/>
    <n v="600"/>
    <n v="0.35294117647058826"/>
    <x v="2"/>
  </r>
  <r>
    <x v="20"/>
    <x v="2"/>
    <n v="10"/>
    <x v="4"/>
    <n v="41"/>
    <x v="0"/>
    <x v="0"/>
    <x v="1"/>
    <x v="1"/>
    <x v="2"/>
    <x v="3"/>
    <n v="2"/>
    <n v="550"/>
    <x v="2"/>
    <n v="1700"/>
    <n v="1100"/>
    <n v="600"/>
    <n v="0.35294117647058826"/>
    <x v="2"/>
  </r>
  <r>
    <x v="44"/>
    <x v="2"/>
    <n v="10"/>
    <x v="0"/>
    <n v="41"/>
    <x v="0"/>
    <x v="3"/>
    <x v="12"/>
    <x v="0"/>
    <x v="3"/>
    <x v="11"/>
    <n v="2"/>
    <n v="500"/>
    <x v="5"/>
    <n v="1600"/>
    <n v="1000"/>
    <n v="600"/>
    <n v="0.375"/>
    <x v="2"/>
  </r>
  <r>
    <x v="1"/>
    <x v="0"/>
    <n v="11"/>
    <x v="1"/>
    <n v="41"/>
    <x v="1"/>
    <x v="3"/>
    <x v="8"/>
    <x v="1"/>
    <x v="2"/>
    <x v="3"/>
    <n v="4"/>
    <n v="550"/>
    <x v="2"/>
    <n v="3400"/>
    <n v="2200"/>
    <n v="1200"/>
    <n v="0.35294117647058826"/>
    <x v="2"/>
  </r>
  <r>
    <x v="2"/>
    <x v="0"/>
    <n v="11"/>
    <x v="0"/>
    <n v="41"/>
    <x v="0"/>
    <x v="5"/>
    <x v="16"/>
    <x v="0"/>
    <x v="1"/>
    <x v="32"/>
    <n v="1"/>
    <n v="580"/>
    <x v="4"/>
    <n v="920"/>
    <n v="580"/>
    <n v="340"/>
    <n v="0.36956521739130432"/>
    <x v="2"/>
  </r>
  <r>
    <x v="61"/>
    <x v="0"/>
    <n v="11"/>
    <x v="1"/>
    <n v="41"/>
    <x v="1"/>
    <x v="3"/>
    <x v="14"/>
    <x v="1"/>
    <x v="2"/>
    <x v="40"/>
    <n v="3"/>
    <n v="550"/>
    <x v="2"/>
    <n v="2550"/>
    <n v="1650"/>
    <n v="900"/>
    <n v="0.35294117647058826"/>
    <x v="2"/>
  </r>
  <r>
    <x v="31"/>
    <x v="0"/>
    <n v="11"/>
    <x v="1"/>
    <n v="41"/>
    <x v="0"/>
    <x v="5"/>
    <x v="16"/>
    <x v="0"/>
    <x v="1"/>
    <x v="32"/>
    <n v="1"/>
    <n v="580"/>
    <x v="4"/>
    <n v="920"/>
    <n v="580"/>
    <n v="340"/>
    <n v="0.36956521739130432"/>
    <x v="2"/>
  </r>
  <r>
    <x v="38"/>
    <x v="0"/>
    <n v="11"/>
    <x v="5"/>
    <n v="41"/>
    <x v="0"/>
    <x v="2"/>
    <x v="5"/>
    <x v="0"/>
    <x v="1"/>
    <x v="16"/>
    <n v="1"/>
    <n v="900"/>
    <x v="3"/>
    <n v="1400"/>
    <n v="900"/>
    <n v="500"/>
    <n v="0.35714285714285715"/>
    <x v="2"/>
  </r>
  <r>
    <x v="13"/>
    <x v="0"/>
    <n v="11"/>
    <x v="6"/>
    <n v="41"/>
    <x v="0"/>
    <x v="2"/>
    <x v="5"/>
    <x v="0"/>
    <x v="1"/>
    <x v="16"/>
    <n v="3"/>
    <n v="900"/>
    <x v="3"/>
    <n v="4200"/>
    <n v="2700"/>
    <n v="1500"/>
    <n v="0.35714285714285715"/>
    <x v="2"/>
  </r>
  <r>
    <x v="6"/>
    <x v="0"/>
    <n v="11"/>
    <x v="3"/>
    <n v="41"/>
    <x v="1"/>
    <x v="3"/>
    <x v="12"/>
    <x v="1"/>
    <x v="2"/>
    <x v="3"/>
    <n v="1"/>
    <n v="550"/>
    <x v="2"/>
    <n v="850"/>
    <n v="550"/>
    <n v="300"/>
    <n v="0.35294117647058826"/>
    <x v="2"/>
  </r>
  <r>
    <x v="8"/>
    <x v="0"/>
    <n v="11"/>
    <x v="1"/>
    <n v="41"/>
    <x v="0"/>
    <x v="2"/>
    <x v="5"/>
    <x v="0"/>
    <x v="1"/>
    <x v="16"/>
    <n v="1"/>
    <n v="900"/>
    <x v="3"/>
    <n v="1400"/>
    <n v="900"/>
    <n v="500"/>
    <n v="0.35714285714285715"/>
    <x v="2"/>
  </r>
  <r>
    <x v="83"/>
    <x v="1"/>
    <n v="12"/>
    <x v="2"/>
    <n v="41"/>
    <x v="0"/>
    <x v="0"/>
    <x v="1"/>
    <x v="0"/>
    <x v="0"/>
    <x v="0"/>
    <n v="3"/>
    <n v="700"/>
    <x v="0"/>
    <n v="3300"/>
    <n v="2100"/>
    <n v="1200"/>
    <n v="0.36363636363636365"/>
    <x v="2"/>
  </r>
  <r>
    <x v="57"/>
    <x v="1"/>
    <n v="12"/>
    <x v="3"/>
    <n v="41"/>
    <x v="1"/>
    <x v="2"/>
    <x v="5"/>
    <x v="0"/>
    <x v="0"/>
    <x v="10"/>
    <n v="4"/>
    <n v="580"/>
    <x v="4"/>
    <n v="3680"/>
    <n v="2320"/>
    <n v="1360"/>
    <n v="0.36956521739130432"/>
    <x v="2"/>
  </r>
  <r>
    <x v="77"/>
    <x v="1"/>
    <n v="12"/>
    <x v="4"/>
    <n v="41"/>
    <x v="0"/>
    <x v="2"/>
    <x v="5"/>
    <x v="0"/>
    <x v="1"/>
    <x v="16"/>
    <n v="1"/>
    <n v="900"/>
    <x v="3"/>
    <n v="1400"/>
    <n v="900"/>
    <n v="500"/>
    <n v="0.35714285714285715"/>
    <x v="2"/>
  </r>
  <r>
    <x v="25"/>
    <x v="1"/>
    <n v="12"/>
    <x v="1"/>
    <n v="41"/>
    <x v="1"/>
    <x v="2"/>
    <x v="7"/>
    <x v="0"/>
    <x v="0"/>
    <x v="6"/>
    <n v="1"/>
    <n v="700"/>
    <x v="0"/>
    <n v="1100"/>
    <n v="700"/>
    <n v="400"/>
    <n v="0.36363636363636365"/>
    <x v="2"/>
  </r>
  <r>
    <x v="70"/>
    <x v="1"/>
    <n v="12"/>
    <x v="2"/>
    <n v="41"/>
    <x v="1"/>
    <x v="3"/>
    <x v="14"/>
    <x v="1"/>
    <x v="2"/>
    <x v="40"/>
    <n v="1"/>
    <n v="550"/>
    <x v="2"/>
    <n v="850"/>
    <n v="550"/>
    <n v="300"/>
    <n v="0.35294117647058826"/>
    <x v="2"/>
  </r>
  <r>
    <x v="15"/>
    <x v="1"/>
    <n v="12"/>
    <x v="6"/>
    <n v="41"/>
    <x v="0"/>
    <x v="2"/>
    <x v="7"/>
    <x v="0"/>
    <x v="0"/>
    <x v="0"/>
    <n v="3"/>
    <n v="700"/>
    <x v="0"/>
    <n v="3300"/>
    <n v="2100"/>
    <n v="1200"/>
    <n v="0.36363636363636365"/>
    <x v="2"/>
  </r>
  <r>
    <x v="15"/>
    <x v="1"/>
    <n v="12"/>
    <x v="6"/>
    <n v="41"/>
    <x v="1"/>
    <x v="0"/>
    <x v="1"/>
    <x v="1"/>
    <x v="2"/>
    <x v="49"/>
    <n v="2"/>
    <n v="450"/>
    <x v="7"/>
    <n v="1440"/>
    <n v="900"/>
    <n v="540"/>
    <n v="0.375"/>
    <x v="2"/>
  </r>
  <r>
    <x v="19"/>
    <x v="1"/>
    <n v="12"/>
    <x v="5"/>
    <n v="41"/>
    <x v="0"/>
    <x v="2"/>
    <x v="7"/>
    <x v="1"/>
    <x v="0"/>
    <x v="41"/>
    <n v="3"/>
    <n v="550"/>
    <x v="2"/>
    <n v="2550"/>
    <n v="1650"/>
    <n v="900"/>
    <n v="0.35294117647058826"/>
    <x v="2"/>
  </r>
  <r>
    <x v="19"/>
    <x v="1"/>
    <n v="12"/>
    <x v="5"/>
    <n v="41"/>
    <x v="0"/>
    <x v="3"/>
    <x v="8"/>
    <x v="1"/>
    <x v="2"/>
    <x v="20"/>
    <n v="1"/>
    <n v="550"/>
    <x v="2"/>
    <n v="850"/>
    <n v="550"/>
    <n v="300"/>
    <n v="0.35294117647058826"/>
    <x v="2"/>
  </r>
  <r>
    <x v="71"/>
    <x v="1"/>
    <n v="12"/>
    <x v="0"/>
    <n v="41"/>
    <x v="1"/>
    <x v="0"/>
    <x v="0"/>
    <x v="0"/>
    <x v="1"/>
    <x v="16"/>
    <n v="1"/>
    <n v="900"/>
    <x v="3"/>
    <n v="1400"/>
    <n v="900"/>
    <n v="500"/>
    <n v="0.35714285714285715"/>
    <x v="2"/>
  </r>
  <r>
    <x v="81"/>
    <x v="2"/>
    <n v="10"/>
    <x v="2"/>
    <n v="42"/>
    <x v="1"/>
    <x v="3"/>
    <x v="8"/>
    <x v="0"/>
    <x v="1"/>
    <x v="52"/>
    <n v="1"/>
    <n v="620"/>
    <x v="1"/>
    <n v="980"/>
    <n v="620"/>
    <n v="360"/>
    <n v="0.36734693877551022"/>
    <x v="2"/>
  </r>
  <r>
    <x v="82"/>
    <x v="2"/>
    <n v="10"/>
    <x v="6"/>
    <n v="42"/>
    <x v="1"/>
    <x v="2"/>
    <x v="5"/>
    <x v="0"/>
    <x v="0"/>
    <x v="0"/>
    <n v="2"/>
    <n v="700"/>
    <x v="0"/>
    <n v="2200"/>
    <n v="1400"/>
    <n v="800"/>
    <n v="0.36363636363636365"/>
    <x v="2"/>
  </r>
  <r>
    <x v="75"/>
    <x v="2"/>
    <n v="10"/>
    <x v="6"/>
    <n v="42"/>
    <x v="0"/>
    <x v="0"/>
    <x v="0"/>
    <x v="1"/>
    <x v="2"/>
    <x v="3"/>
    <n v="1"/>
    <n v="550"/>
    <x v="2"/>
    <n v="850"/>
    <n v="550"/>
    <n v="300"/>
    <n v="0.35294117647058826"/>
    <x v="2"/>
  </r>
  <r>
    <x v="75"/>
    <x v="2"/>
    <n v="10"/>
    <x v="6"/>
    <n v="42"/>
    <x v="0"/>
    <x v="0"/>
    <x v="10"/>
    <x v="1"/>
    <x v="0"/>
    <x v="25"/>
    <n v="1"/>
    <n v="550"/>
    <x v="2"/>
    <n v="850"/>
    <n v="550"/>
    <n v="300"/>
    <n v="0.35294117647058826"/>
    <x v="2"/>
  </r>
  <r>
    <x v="36"/>
    <x v="2"/>
    <n v="10"/>
    <x v="2"/>
    <n v="42"/>
    <x v="0"/>
    <x v="0"/>
    <x v="1"/>
    <x v="0"/>
    <x v="1"/>
    <x v="43"/>
    <n v="1"/>
    <n v="900"/>
    <x v="3"/>
    <n v="1400"/>
    <n v="900"/>
    <n v="500"/>
    <n v="0.35714285714285715"/>
    <x v="2"/>
  </r>
  <r>
    <x v="46"/>
    <x v="2"/>
    <n v="10"/>
    <x v="6"/>
    <n v="42"/>
    <x v="1"/>
    <x v="0"/>
    <x v="0"/>
    <x v="0"/>
    <x v="0"/>
    <x v="0"/>
    <n v="3"/>
    <n v="700"/>
    <x v="0"/>
    <n v="3300"/>
    <n v="2100"/>
    <n v="1200"/>
    <n v="0.36363636363636365"/>
    <x v="2"/>
  </r>
  <r>
    <x v="24"/>
    <x v="0"/>
    <n v="11"/>
    <x v="2"/>
    <n v="42"/>
    <x v="0"/>
    <x v="5"/>
    <x v="16"/>
    <x v="0"/>
    <x v="1"/>
    <x v="2"/>
    <n v="1"/>
    <n v="620"/>
    <x v="1"/>
    <n v="980"/>
    <n v="620"/>
    <n v="360"/>
    <n v="0.36734693877551022"/>
    <x v="2"/>
  </r>
  <r>
    <x v="33"/>
    <x v="1"/>
    <n v="12"/>
    <x v="5"/>
    <n v="42"/>
    <x v="0"/>
    <x v="2"/>
    <x v="5"/>
    <x v="0"/>
    <x v="0"/>
    <x v="22"/>
    <n v="3"/>
    <n v="700"/>
    <x v="0"/>
    <n v="3300"/>
    <n v="2100"/>
    <n v="1200"/>
    <n v="0.36363636363636365"/>
    <x v="2"/>
  </r>
  <r>
    <x v="77"/>
    <x v="1"/>
    <n v="12"/>
    <x v="4"/>
    <n v="42"/>
    <x v="0"/>
    <x v="3"/>
    <x v="12"/>
    <x v="1"/>
    <x v="0"/>
    <x v="25"/>
    <n v="4"/>
    <n v="550"/>
    <x v="2"/>
    <n v="3400"/>
    <n v="2200"/>
    <n v="1200"/>
    <n v="0.35294117647058826"/>
    <x v="2"/>
  </r>
  <r>
    <x v="70"/>
    <x v="1"/>
    <n v="12"/>
    <x v="2"/>
    <n v="42"/>
    <x v="1"/>
    <x v="0"/>
    <x v="1"/>
    <x v="0"/>
    <x v="1"/>
    <x v="5"/>
    <n v="1"/>
    <n v="900"/>
    <x v="3"/>
    <n v="1400"/>
    <n v="900"/>
    <n v="500"/>
    <n v="0.35714285714285715"/>
    <x v="2"/>
  </r>
  <r>
    <x v="70"/>
    <x v="1"/>
    <n v="12"/>
    <x v="2"/>
    <n v="42"/>
    <x v="1"/>
    <x v="3"/>
    <x v="8"/>
    <x v="0"/>
    <x v="1"/>
    <x v="52"/>
    <n v="1"/>
    <n v="620"/>
    <x v="1"/>
    <n v="980"/>
    <n v="620"/>
    <n v="360"/>
    <n v="0.36734693877551022"/>
    <x v="2"/>
  </r>
  <r>
    <x v="17"/>
    <x v="1"/>
    <n v="12"/>
    <x v="2"/>
    <n v="42"/>
    <x v="1"/>
    <x v="0"/>
    <x v="2"/>
    <x v="0"/>
    <x v="3"/>
    <x v="11"/>
    <n v="1"/>
    <n v="500"/>
    <x v="5"/>
    <n v="800"/>
    <n v="500"/>
    <n v="300"/>
    <n v="0.375"/>
    <x v="2"/>
  </r>
  <r>
    <x v="18"/>
    <x v="1"/>
    <n v="12"/>
    <x v="3"/>
    <n v="42"/>
    <x v="1"/>
    <x v="0"/>
    <x v="0"/>
    <x v="0"/>
    <x v="0"/>
    <x v="0"/>
    <n v="4"/>
    <n v="700"/>
    <x v="0"/>
    <n v="4400"/>
    <n v="2800"/>
    <n v="1600"/>
    <n v="0.36363636363636365"/>
    <x v="2"/>
  </r>
  <r>
    <x v="18"/>
    <x v="1"/>
    <n v="12"/>
    <x v="3"/>
    <n v="42"/>
    <x v="1"/>
    <x v="3"/>
    <x v="12"/>
    <x v="1"/>
    <x v="2"/>
    <x v="3"/>
    <n v="1"/>
    <n v="550"/>
    <x v="2"/>
    <n v="850"/>
    <n v="550"/>
    <n v="300"/>
    <n v="0.35294117647058826"/>
    <x v="2"/>
  </r>
  <r>
    <x v="18"/>
    <x v="1"/>
    <n v="12"/>
    <x v="3"/>
    <n v="42"/>
    <x v="1"/>
    <x v="0"/>
    <x v="2"/>
    <x v="0"/>
    <x v="3"/>
    <x v="11"/>
    <n v="1"/>
    <n v="500"/>
    <x v="5"/>
    <n v="800"/>
    <n v="500"/>
    <n v="300"/>
    <n v="0.375"/>
    <x v="2"/>
  </r>
  <r>
    <x v="79"/>
    <x v="1"/>
    <n v="12"/>
    <x v="0"/>
    <n v="42"/>
    <x v="0"/>
    <x v="0"/>
    <x v="1"/>
    <x v="0"/>
    <x v="1"/>
    <x v="43"/>
    <n v="3"/>
    <n v="900"/>
    <x v="3"/>
    <n v="4200"/>
    <n v="2700"/>
    <n v="1500"/>
    <n v="0.35714285714285715"/>
    <x v="2"/>
  </r>
  <r>
    <x v="19"/>
    <x v="1"/>
    <n v="12"/>
    <x v="5"/>
    <n v="42"/>
    <x v="0"/>
    <x v="5"/>
    <x v="16"/>
    <x v="0"/>
    <x v="1"/>
    <x v="2"/>
    <n v="1"/>
    <n v="620"/>
    <x v="1"/>
    <n v="980"/>
    <n v="620"/>
    <n v="360"/>
    <n v="0.36734693877551022"/>
    <x v="2"/>
  </r>
  <r>
    <x v="59"/>
    <x v="1"/>
    <n v="12"/>
    <x v="4"/>
    <n v="42"/>
    <x v="0"/>
    <x v="2"/>
    <x v="5"/>
    <x v="0"/>
    <x v="0"/>
    <x v="22"/>
    <n v="1"/>
    <n v="700"/>
    <x v="0"/>
    <n v="1100"/>
    <n v="700"/>
    <n v="400"/>
    <n v="0.36363636363636365"/>
    <x v="2"/>
  </r>
  <r>
    <x v="71"/>
    <x v="1"/>
    <n v="12"/>
    <x v="0"/>
    <n v="42"/>
    <x v="1"/>
    <x v="2"/>
    <x v="7"/>
    <x v="0"/>
    <x v="0"/>
    <x v="10"/>
    <n v="1"/>
    <n v="580"/>
    <x v="4"/>
    <n v="920"/>
    <n v="580"/>
    <n v="340"/>
    <n v="0.36956521739130432"/>
    <x v="2"/>
  </r>
  <r>
    <x v="80"/>
    <x v="2"/>
    <n v="10"/>
    <x v="6"/>
    <n v="43"/>
    <x v="0"/>
    <x v="0"/>
    <x v="1"/>
    <x v="0"/>
    <x v="1"/>
    <x v="30"/>
    <n v="1"/>
    <n v="900"/>
    <x v="3"/>
    <n v="1400"/>
    <n v="900"/>
    <n v="500"/>
    <n v="0.35714285714285715"/>
    <x v="2"/>
  </r>
  <r>
    <x v="89"/>
    <x v="2"/>
    <n v="10"/>
    <x v="2"/>
    <n v="43"/>
    <x v="0"/>
    <x v="0"/>
    <x v="1"/>
    <x v="0"/>
    <x v="1"/>
    <x v="30"/>
    <n v="4"/>
    <n v="900"/>
    <x v="3"/>
    <n v="5600"/>
    <n v="3600"/>
    <n v="2000"/>
    <n v="0.35714285714285715"/>
    <x v="2"/>
  </r>
  <r>
    <x v="73"/>
    <x v="2"/>
    <n v="10"/>
    <x v="6"/>
    <n v="43"/>
    <x v="0"/>
    <x v="5"/>
    <x v="16"/>
    <x v="0"/>
    <x v="3"/>
    <x v="33"/>
    <n v="2"/>
    <n v="500"/>
    <x v="5"/>
    <n v="1600"/>
    <n v="1000"/>
    <n v="600"/>
    <n v="0.375"/>
    <x v="2"/>
  </r>
  <r>
    <x v="10"/>
    <x v="2"/>
    <n v="10"/>
    <x v="5"/>
    <n v="43"/>
    <x v="0"/>
    <x v="0"/>
    <x v="1"/>
    <x v="1"/>
    <x v="0"/>
    <x v="41"/>
    <n v="3"/>
    <n v="550"/>
    <x v="2"/>
    <n v="2550"/>
    <n v="1650"/>
    <n v="900"/>
    <n v="0.35294117647058826"/>
    <x v="2"/>
  </r>
  <r>
    <x v="53"/>
    <x v="2"/>
    <n v="10"/>
    <x v="3"/>
    <n v="43"/>
    <x v="1"/>
    <x v="2"/>
    <x v="5"/>
    <x v="0"/>
    <x v="1"/>
    <x v="5"/>
    <n v="3"/>
    <n v="900"/>
    <x v="3"/>
    <n v="4200"/>
    <n v="2700"/>
    <n v="1500"/>
    <n v="0.35714285714285715"/>
    <x v="2"/>
  </r>
  <r>
    <x v="75"/>
    <x v="2"/>
    <n v="10"/>
    <x v="6"/>
    <n v="43"/>
    <x v="0"/>
    <x v="1"/>
    <x v="17"/>
    <x v="0"/>
    <x v="0"/>
    <x v="10"/>
    <n v="1"/>
    <n v="580"/>
    <x v="4"/>
    <n v="920"/>
    <n v="580"/>
    <n v="340"/>
    <n v="0.36956521739130432"/>
    <x v="2"/>
  </r>
  <r>
    <x v="46"/>
    <x v="2"/>
    <n v="10"/>
    <x v="6"/>
    <n v="43"/>
    <x v="1"/>
    <x v="2"/>
    <x v="7"/>
    <x v="0"/>
    <x v="1"/>
    <x v="43"/>
    <n v="1"/>
    <n v="900"/>
    <x v="3"/>
    <n v="1400"/>
    <n v="900"/>
    <n v="500"/>
    <n v="0.35714285714285715"/>
    <x v="2"/>
  </r>
  <r>
    <x v="25"/>
    <x v="1"/>
    <n v="12"/>
    <x v="1"/>
    <n v="43"/>
    <x v="1"/>
    <x v="2"/>
    <x v="7"/>
    <x v="0"/>
    <x v="1"/>
    <x v="43"/>
    <n v="2"/>
    <n v="900"/>
    <x v="3"/>
    <n v="2800"/>
    <n v="1800"/>
    <n v="1000"/>
    <n v="0.35714285714285715"/>
    <x v="2"/>
  </r>
  <r>
    <x v="25"/>
    <x v="1"/>
    <n v="12"/>
    <x v="1"/>
    <n v="43"/>
    <x v="0"/>
    <x v="0"/>
    <x v="2"/>
    <x v="0"/>
    <x v="1"/>
    <x v="30"/>
    <n v="1"/>
    <n v="900"/>
    <x v="3"/>
    <n v="1400"/>
    <n v="900"/>
    <n v="500"/>
    <n v="0.35714285714285715"/>
    <x v="2"/>
  </r>
  <r>
    <x v="48"/>
    <x v="1"/>
    <n v="12"/>
    <x v="3"/>
    <n v="43"/>
    <x v="1"/>
    <x v="0"/>
    <x v="0"/>
    <x v="0"/>
    <x v="3"/>
    <x v="38"/>
    <n v="4"/>
    <n v="530"/>
    <x v="8"/>
    <n v="3360"/>
    <n v="2120"/>
    <n v="1240"/>
    <n v="0.36904761904761907"/>
    <x v="2"/>
  </r>
  <r>
    <x v="16"/>
    <x v="1"/>
    <n v="12"/>
    <x v="4"/>
    <n v="43"/>
    <x v="0"/>
    <x v="2"/>
    <x v="7"/>
    <x v="0"/>
    <x v="1"/>
    <x v="16"/>
    <n v="3"/>
    <n v="900"/>
    <x v="3"/>
    <n v="4200"/>
    <n v="2700"/>
    <n v="1500"/>
    <n v="0.35714285714285715"/>
    <x v="2"/>
  </r>
  <r>
    <x v="88"/>
    <x v="1"/>
    <n v="12"/>
    <x v="1"/>
    <n v="43"/>
    <x v="1"/>
    <x v="2"/>
    <x v="7"/>
    <x v="0"/>
    <x v="1"/>
    <x v="43"/>
    <n v="2"/>
    <n v="900"/>
    <x v="3"/>
    <n v="2800"/>
    <n v="1800"/>
    <n v="1000"/>
    <n v="0.35714285714285715"/>
    <x v="2"/>
  </r>
  <r>
    <x v="17"/>
    <x v="1"/>
    <n v="12"/>
    <x v="2"/>
    <n v="43"/>
    <x v="0"/>
    <x v="2"/>
    <x v="7"/>
    <x v="0"/>
    <x v="1"/>
    <x v="16"/>
    <n v="1"/>
    <n v="900"/>
    <x v="3"/>
    <n v="1400"/>
    <n v="900"/>
    <n v="500"/>
    <n v="0.35714285714285715"/>
    <x v="2"/>
  </r>
  <r>
    <x v="18"/>
    <x v="1"/>
    <n v="12"/>
    <x v="3"/>
    <n v="43"/>
    <x v="1"/>
    <x v="0"/>
    <x v="1"/>
    <x v="0"/>
    <x v="1"/>
    <x v="4"/>
    <n v="1"/>
    <n v="900"/>
    <x v="3"/>
    <n v="1400"/>
    <n v="900"/>
    <n v="500"/>
    <n v="0.35714285714285715"/>
    <x v="2"/>
  </r>
  <r>
    <x v="79"/>
    <x v="1"/>
    <n v="12"/>
    <x v="0"/>
    <n v="43"/>
    <x v="0"/>
    <x v="2"/>
    <x v="7"/>
    <x v="0"/>
    <x v="1"/>
    <x v="16"/>
    <n v="2"/>
    <n v="900"/>
    <x v="3"/>
    <n v="2800"/>
    <n v="1800"/>
    <n v="1000"/>
    <n v="0.35714285714285715"/>
    <x v="2"/>
  </r>
  <r>
    <x v="79"/>
    <x v="1"/>
    <n v="12"/>
    <x v="0"/>
    <n v="43"/>
    <x v="0"/>
    <x v="2"/>
    <x v="5"/>
    <x v="0"/>
    <x v="3"/>
    <x v="37"/>
    <n v="1"/>
    <n v="530"/>
    <x v="8"/>
    <n v="840"/>
    <n v="530"/>
    <n v="310"/>
    <n v="0.36904761904761907"/>
    <x v="2"/>
  </r>
  <r>
    <x v="27"/>
    <x v="1"/>
    <n v="12"/>
    <x v="2"/>
    <n v="43"/>
    <x v="0"/>
    <x v="2"/>
    <x v="5"/>
    <x v="0"/>
    <x v="3"/>
    <x v="37"/>
    <n v="1"/>
    <n v="530"/>
    <x v="8"/>
    <n v="840"/>
    <n v="530"/>
    <n v="310"/>
    <n v="0.36904761904761907"/>
    <x v="2"/>
  </r>
  <r>
    <x v="42"/>
    <x v="1"/>
    <n v="12"/>
    <x v="5"/>
    <n v="43"/>
    <x v="0"/>
    <x v="5"/>
    <x v="16"/>
    <x v="1"/>
    <x v="2"/>
    <x v="40"/>
    <n v="2"/>
    <n v="550"/>
    <x v="2"/>
    <n v="1700"/>
    <n v="1100"/>
    <n v="600"/>
    <n v="0.35294117647058826"/>
    <x v="2"/>
  </r>
  <r>
    <x v="42"/>
    <x v="1"/>
    <n v="12"/>
    <x v="5"/>
    <n v="43"/>
    <x v="1"/>
    <x v="0"/>
    <x v="1"/>
    <x v="0"/>
    <x v="1"/>
    <x v="4"/>
    <n v="1"/>
    <n v="900"/>
    <x v="3"/>
    <n v="1400"/>
    <n v="900"/>
    <n v="500"/>
    <n v="0.35714285714285715"/>
    <x v="2"/>
  </r>
  <r>
    <x v="65"/>
    <x v="2"/>
    <n v="10"/>
    <x v="0"/>
    <n v="44"/>
    <x v="1"/>
    <x v="4"/>
    <x v="11"/>
    <x v="1"/>
    <x v="0"/>
    <x v="56"/>
    <n v="4"/>
    <n v="480"/>
    <x v="6"/>
    <n v="3040"/>
    <n v="1920"/>
    <n v="1120"/>
    <n v="0.36842105263157893"/>
    <x v="2"/>
  </r>
  <r>
    <x v="66"/>
    <x v="2"/>
    <n v="10"/>
    <x v="1"/>
    <n v="44"/>
    <x v="1"/>
    <x v="0"/>
    <x v="1"/>
    <x v="0"/>
    <x v="0"/>
    <x v="22"/>
    <n v="1"/>
    <n v="700"/>
    <x v="0"/>
    <n v="1100"/>
    <n v="700"/>
    <n v="400"/>
    <n v="0.36363636363636365"/>
    <x v="2"/>
  </r>
  <r>
    <x v="43"/>
    <x v="2"/>
    <n v="10"/>
    <x v="2"/>
    <n v="44"/>
    <x v="1"/>
    <x v="3"/>
    <x v="8"/>
    <x v="0"/>
    <x v="1"/>
    <x v="59"/>
    <n v="3"/>
    <n v="500"/>
    <x v="10"/>
    <n v="2850"/>
    <n v="1500"/>
    <n v="1350"/>
    <n v="0.47368421052631576"/>
    <x v="2"/>
  </r>
  <r>
    <x v="43"/>
    <x v="2"/>
    <n v="10"/>
    <x v="2"/>
    <n v="44"/>
    <x v="0"/>
    <x v="0"/>
    <x v="10"/>
    <x v="1"/>
    <x v="0"/>
    <x v="41"/>
    <n v="2"/>
    <n v="550"/>
    <x v="2"/>
    <n v="1700"/>
    <n v="1100"/>
    <n v="600"/>
    <n v="0.35294117647058826"/>
    <x v="2"/>
  </r>
  <r>
    <x v="20"/>
    <x v="2"/>
    <n v="10"/>
    <x v="4"/>
    <n v="44"/>
    <x v="1"/>
    <x v="0"/>
    <x v="2"/>
    <x v="1"/>
    <x v="2"/>
    <x v="49"/>
    <n v="1"/>
    <n v="450"/>
    <x v="7"/>
    <n v="720"/>
    <n v="450"/>
    <n v="270"/>
    <n v="0.375"/>
    <x v="2"/>
  </r>
  <r>
    <x v="76"/>
    <x v="2"/>
    <n v="10"/>
    <x v="3"/>
    <n v="44"/>
    <x v="1"/>
    <x v="0"/>
    <x v="1"/>
    <x v="0"/>
    <x v="0"/>
    <x v="22"/>
    <n v="4"/>
    <n v="700"/>
    <x v="0"/>
    <n v="4400"/>
    <n v="2800"/>
    <n v="1600"/>
    <n v="0.36363636363636365"/>
    <x v="2"/>
  </r>
  <r>
    <x v="0"/>
    <x v="0"/>
    <n v="11"/>
    <x v="0"/>
    <n v="44"/>
    <x v="0"/>
    <x v="5"/>
    <x v="16"/>
    <x v="0"/>
    <x v="3"/>
    <x v="33"/>
    <n v="1"/>
    <n v="500"/>
    <x v="5"/>
    <n v="800"/>
    <n v="500"/>
    <n v="300"/>
    <n v="0.375"/>
    <x v="2"/>
  </r>
  <r>
    <x v="39"/>
    <x v="0"/>
    <n v="11"/>
    <x v="3"/>
    <n v="44"/>
    <x v="1"/>
    <x v="2"/>
    <x v="9"/>
    <x v="0"/>
    <x v="0"/>
    <x v="22"/>
    <n v="1"/>
    <n v="700"/>
    <x v="0"/>
    <n v="1100"/>
    <n v="700"/>
    <n v="400"/>
    <n v="0.36363636363636365"/>
    <x v="2"/>
  </r>
  <r>
    <x v="87"/>
    <x v="0"/>
    <n v="11"/>
    <x v="3"/>
    <n v="44"/>
    <x v="1"/>
    <x v="3"/>
    <x v="8"/>
    <x v="0"/>
    <x v="1"/>
    <x v="59"/>
    <n v="1"/>
    <n v="500"/>
    <x v="10"/>
    <n v="950"/>
    <n v="500"/>
    <n v="450"/>
    <n v="0.47368421052631576"/>
    <x v="2"/>
  </r>
  <r>
    <x v="7"/>
    <x v="0"/>
    <n v="11"/>
    <x v="0"/>
    <n v="44"/>
    <x v="0"/>
    <x v="5"/>
    <x v="16"/>
    <x v="0"/>
    <x v="3"/>
    <x v="33"/>
    <n v="1"/>
    <n v="500"/>
    <x v="5"/>
    <n v="800"/>
    <n v="500"/>
    <n v="300"/>
    <n v="0.375"/>
    <x v="2"/>
  </r>
  <r>
    <x v="33"/>
    <x v="1"/>
    <n v="12"/>
    <x v="5"/>
    <n v="44"/>
    <x v="0"/>
    <x v="5"/>
    <x v="16"/>
    <x v="1"/>
    <x v="2"/>
    <x v="40"/>
    <n v="1"/>
    <n v="550"/>
    <x v="2"/>
    <n v="850"/>
    <n v="550"/>
    <n v="300"/>
    <n v="0.35294117647058826"/>
    <x v="2"/>
  </r>
  <r>
    <x v="83"/>
    <x v="1"/>
    <n v="12"/>
    <x v="2"/>
    <n v="44"/>
    <x v="0"/>
    <x v="2"/>
    <x v="5"/>
    <x v="0"/>
    <x v="1"/>
    <x v="34"/>
    <n v="4"/>
    <n v="580"/>
    <x v="4"/>
    <n v="3680"/>
    <n v="2320"/>
    <n v="1360"/>
    <n v="0.36956521739130432"/>
    <x v="2"/>
  </r>
  <r>
    <x v="78"/>
    <x v="1"/>
    <n v="12"/>
    <x v="0"/>
    <n v="44"/>
    <x v="1"/>
    <x v="5"/>
    <x v="16"/>
    <x v="1"/>
    <x v="0"/>
    <x v="25"/>
    <n v="1"/>
    <n v="550"/>
    <x v="2"/>
    <n v="850"/>
    <n v="550"/>
    <n v="300"/>
    <n v="0.35294117647058826"/>
    <x v="2"/>
  </r>
  <r>
    <x v="88"/>
    <x v="1"/>
    <n v="12"/>
    <x v="1"/>
    <n v="44"/>
    <x v="0"/>
    <x v="2"/>
    <x v="7"/>
    <x v="0"/>
    <x v="0"/>
    <x v="0"/>
    <n v="1"/>
    <n v="700"/>
    <x v="0"/>
    <n v="1100"/>
    <n v="700"/>
    <n v="400"/>
    <n v="0.36363636363636365"/>
    <x v="2"/>
  </r>
  <r>
    <x v="88"/>
    <x v="1"/>
    <n v="12"/>
    <x v="1"/>
    <n v="44"/>
    <x v="0"/>
    <x v="0"/>
    <x v="1"/>
    <x v="0"/>
    <x v="1"/>
    <x v="8"/>
    <n v="1"/>
    <n v="580"/>
    <x v="4"/>
    <n v="920"/>
    <n v="580"/>
    <n v="340"/>
    <n v="0.36956521739130432"/>
    <x v="2"/>
  </r>
  <r>
    <x v="18"/>
    <x v="1"/>
    <n v="12"/>
    <x v="3"/>
    <n v="44"/>
    <x v="0"/>
    <x v="5"/>
    <x v="16"/>
    <x v="0"/>
    <x v="3"/>
    <x v="33"/>
    <n v="1"/>
    <n v="500"/>
    <x v="5"/>
    <n v="800"/>
    <n v="500"/>
    <n v="300"/>
    <n v="0.375"/>
    <x v="2"/>
  </r>
  <r>
    <x v="63"/>
    <x v="1"/>
    <n v="12"/>
    <x v="6"/>
    <n v="44"/>
    <x v="0"/>
    <x v="2"/>
    <x v="7"/>
    <x v="0"/>
    <x v="0"/>
    <x v="0"/>
    <n v="1"/>
    <n v="700"/>
    <x v="0"/>
    <n v="1100"/>
    <n v="700"/>
    <n v="400"/>
    <n v="0.36363636363636365"/>
    <x v="2"/>
  </r>
  <r>
    <x v="71"/>
    <x v="1"/>
    <n v="12"/>
    <x v="0"/>
    <n v="44"/>
    <x v="0"/>
    <x v="5"/>
    <x v="16"/>
    <x v="1"/>
    <x v="2"/>
    <x v="40"/>
    <n v="2"/>
    <n v="550"/>
    <x v="2"/>
    <n v="1700"/>
    <n v="1100"/>
    <n v="600"/>
    <n v="0.35294117647058826"/>
    <x v="2"/>
  </r>
  <r>
    <x v="29"/>
    <x v="1"/>
    <n v="12"/>
    <x v="1"/>
    <n v="44"/>
    <x v="1"/>
    <x v="5"/>
    <x v="16"/>
    <x v="1"/>
    <x v="0"/>
    <x v="25"/>
    <n v="3"/>
    <n v="550"/>
    <x v="2"/>
    <n v="2550"/>
    <n v="1650"/>
    <n v="900"/>
    <n v="0.35294117647058826"/>
    <x v="2"/>
  </r>
  <r>
    <x v="42"/>
    <x v="1"/>
    <n v="12"/>
    <x v="5"/>
    <n v="44"/>
    <x v="1"/>
    <x v="0"/>
    <x v="2"/>
    <x v="0"/>
    <x v="0"/>
    <x v="0"/>
    <n v="2"/>
    <n v="700"/>
    <x v="0"/>
    <n v="2200"/>
    <n v="1400"/>
    <n v="800"/>
    <n v="0.36363636363636365"/>
    <x v="2"/>
  </r>
  <r>
    <x v="64"/>
    <x v="1"/>
    <n v="12"/>
    <x v="3"/>
    <n v="44"/>
    <x v="0"/>
    <x v="0"/>
    <x v="0"/>
    <x v="0"/>
    <x v="3"/>
    <x v="17"/>
    <n v="1"/>
    <n v="500"/>
    <x v="5"/>
    <n v="800"/>
    <n v="500"/>
    <n v="300"/>
    <n v="0.375"/>
    <x v="2"/>
  </r>
  <r>
    <x v="34"/>
    <x v="2"/>
    <n v="10"/>
    <x v="0"/>
    <n v="45"/>
    <x v="1"/>
    <x v="2"/>
    <x v="7"/>
    <x v="0"/>
    <x v="0"/>
    <x v="6"/>
    <n v="2"/>
    <n v="700"/>
    <x v="0"/>
    <n v="2200"/>
    <n v="1400"/>
    <n v="800"/>
    <n v="0.36363636363636365"/>
    <x v="3"/>
  </r>
  <r>
    <x v="90"/>
    <x v="2"/>
    <n v="10"/>
    <x v="4"/>
    <n v="45"/>
    <x v="1"/>
    <x v="0"/>
    <x v="1"/>
    <x v="0"/>
    <x v="3"/>
    <x v="11"/>
    <n v="1"/>
    <n v="500"/>
    <x v="5"/>
    <n v="800"/>
    <n v="500"/>
    <n v="300"/>
    <n v="0.375"/>
    <x v="3"/>
  </r>
  <r>
    <x v="66"/>
    <x v="2"/>
    <n v="10"/>
    <x v="1"/>
    <n v="45"/>
    <x v="0"/>
    <x v="2"/>
    <x v="5"/>
    <x v="0"/>
    <x v="1"/>
    <x v="4"/>
    <n v="1"/>
    <n v="900"/>
    <x v="3"/>
    <n v="1400"/>
    <n v="900"/>
    <n v="500"/>
    <n v="0.35714285714285715"/>
    <x v="3"/>
  </r>
  <r>
    <x v="10"/>
    <x v="2"/>
    <n v="10"/>
    <x v="5"/>
    <n v="45"/>
    <x v="0"/>
    <x v="0"/>
    <x v="10"/>
    <x v="0"/>
    <x v="0"/>
    <x v="22"/>
    <n v="1"/>
    <n v="700"/>
    <x v="0"/>
    <n v="1100"/>
    <n v="700"/>
    <n v="400"/>
    <n v="0.36363636363636365"/>
    <x v="3"/>
  </r>
  <r>
    <x v="81"/>
    <x v="2"/>
    <n v="10"/>
    <x v="2"/>
    <n v="45"/>
    <x v="1"/>
    <x v="0"/>
    <x v="0"/>
    <x v="0"/>
    <x v="0"/>
    <x v="0"/>
    <n v="2"/>
    <n v="700"/>
    <x v="0"/>
    <n v="2200"/>
    <n v="1400"/>
    <n v="800"/>
    <n v="0.36363636363636365"/>
    <x v="3"/>
  </r>
  <r>
    <x v="67"/>
    <x v="2"/>
    <n v="10"/>
    <x v="4"/>
    <n v="45"/>
    <x v="1"/>
    <x v="2"/>
    <x v="5"/>
    <x v="0"/>
    <x v="0"/>
    <x v="10"/>
    <n v="3"/>
    <n v="580"/>
    <x v="4"/>
    <n v="2760"/>
    <n v="1740"/>
    <n v="1020"/>
    <n v="0.36956521739130432"/>
    <x v="3"/>
  </r>
  <r>
    <x v="68"/>
    <x v="2"/>
    <n v="10"/>
    <x v="1"/>
    <n v="45"/>
    <x v="0"/>
    <x v="2"/>
    <x v="5"/>
    <x v="0"/>
    <x v="1"/>
    <x v="4"/>
    <n v="2"/>
    <n v="900"/>
    <x v="3"/>
    <n v="2800"/>
    <n v="1800"/>
    <n v="1000"/>
    <n v="0.35714285714285715"/>
    <x v="3"/>
  </r>
  <r>
    <x v="60"/>
    <x v="2"/>
    <n v="10"/>
    <x v="3"/>
    <n v="45"/>
    <x v="1"/>
    <x v="2"/>
    <x v="7"/>
    <x v="0"/>
    <x v="0"/>
    <x v="6"/>
    <n v="1"/>
    <n v="700"/>
    <x v="0"/>
    <n v="1100"/>
    <n v="700"/>
    <n v="400"/>
    <n v="0.36363636363636365"/>
    <x v="3"/>
  </r>
  <r>
    <x v="37"/>
    <x v="2"/>
    <n v="10"/>
    <x v="4"/>
    <n v="45"/>
    <x v="1"/>
    <x v="2"/>
    <x v="7"/>
    <x v="0"/>
    <x v="0"/>
    <x v="6"/>
    <n v="2"/>
    <n v="700"/>
    <x v="0"/>
    <n v="2200"/>
    <n v="1400"/>
    <n v="800"/>
    <n v="0.36363636363636365"/>
    <x v="3"/>
  </r>
  <r>
    <x v="11"/>
    <x v="0"/>
    <n v="11"/>
    <x v="5"/>
    <n v="45"/>
    <x v="1"/>
    <x v="4"/>
    <x v="11"/>
    <x v="1"/>
    <x v="2"/>
    <x v="20"/>
    <n v="1"/>
    <n v="550"/>
    <x v="2"/>
    <n v="850"/>
    <n v="550"/>
    <n v="300"/>
    <n v="0.35294117647058826"/>
    <x v="3"/>
  </r>
  <r>
    <x v="87"/>
    <x v="0"/>
    <n v="11"/>
    <x v="3"/>
    <n v="45"/>
    <x v="0"/>
    <x v="5"/>
    <x v="16"/>
    <x v="0"/>
    <x v="0"/>
    <x v="39"/>
    <n v="1"/>
    <n v="620"/>
    <x v="1"/>
    <n v="980"/>
    <n v="620"/>
    <n v="360"/>
    <n v="0.36734693877551022"/>
    <x v="3"/>
  </r>
  <r>
    <x v="14"/>
    <x v="0"/>
    <n v="11"/>
    <x v="0"/>
    <n v="45"/>
    <x v="0"/>
    <x v="5"/>
    <x v="16"/>
    <x v="0"/>
    <x v="0"/>
    <x v="39"/>
    <n v="2"/>
    <n v="620"/>
    <x v="1"/>
    <n v="1960"/>
    <n v="1240"/>
    <n v="720"/>
    <n v="0.36734693877551022"/>
    <x v="3"/>
  </r>
  <r>
    <x v="57"/>
    <x v="1"/>
    <n v="12"/>
    <x v="3"/>
    <n v="45"/>
    <x v="1"/>
    <x v="0"/>
    <x v="1"/>
    <x v="0"/>
    <x v="3"/>
    <x v="11"/>
    <n v="1"/>
    <n v="500"/>
    <x v="5"/>
    <n v="800"/>
    <n v="500"/>
    <n v="300"/>
    <n v="0.375"/>
    <x v="3"/>
  </r>
  <r>
    <x v="25"/>
    <x v="1"/>
    <n v="12"/>
    <x v="1"/>
    <n v="45"/>
    <x v="0"/>
    <x v="3"/>
    <x v="14"/>
    <x v="0"/>
    <x v="0"/>
    <x v="0"/>
    <n v="4"/>
    <n v="700"/>
    <x v="0"/>
    <n v="4400"/>
    <n v="2800"/>
    <n v="1600"/>
    <n v="0.36363636363636365"/>
    <x v="3"/>
  </r>
  <r>
    <x v="25"/>
    <x v="1"/>
    <n v="12"/>
    <x v="1"/>
    <n v="45"/>
    <x v="0"/>
    <x v="2"/>
    <x v="5"/>
    <x v="0"/>
    <x v="1"/>
    <x v="4"/>
    <n v="1"/>
    <n v="900"/>
    <x v="3"/>
    <n v="1400"/>
    <n v="900"/>
    <n v="500"/>
    <n v="0.35714285714285715"/>
    <x v="3"/>
  </r>
  <r>
    <x v="26"/>
    <x v="1"/>
    <n v="12"/>
    <x v="5"/>
    <n v="45"/>
    <x v="0"/>
    <x v="5"/>
    <x v="16"/>
    <x v="0"/>
    <x v="0"/>
    <x v="39"/>
    <n v="1"/>
    <n v="620"/>
    <x v="1"/>
    <n v="980"/>
    <n v="620"/>
    <n v="360"/>
    <n v="0.36734693877551022"/>
    <x v="3"/>
  </r>
  <r>
    <x v="58"/>
    <x v="1"/>
    <n v="12"/>
    <x v="6"/>
    <n v="45"/>
    <x v="1"/>
    <x v="0"/>
    <x v="1"/>
    <x v="0"/>
    <x v="3"/>
    <x v="11"/>
    <n v="1"/>
    <n v="500"/>
    <x v="5"/>
    <n v="800"/>
    <n v="500"/>
    <n v="300"/>
    <n v="0.375"/>
    <x v="3"/>
  </r>
  <r>
    <x v="29"/>
    <x v="1"/>
    <n v="12"/>
    <x v="1"/>
    <n v="45"/>
    <x v="1"/>
    <x v="0"/>
    <x v="2"/>
    <x v="0"/>
    <x v="0"/>
    <x v="0"/>
    <n v="4"/>
    <n v="700"/>
    <x v="0"/>
    <n v="4400"/>
    <n v="2800"/>
    <n v="1600"/>
    <n v="0.36363636363636365"/>
    <x v="3"/>
  </r>
  <r>
    <x v="42"/>
    <x v="1"/>
    <n v="12"/>
    <x v="5"/>
    <n v="45"/>
    <x v="1"/>
    <x v="2"/>
    <x v="7"/>
    <x v="0"/>
    <x v="0"/>
    <x v="6"/>
    <n v="1"/>
    <n v="700"/>
    <x v="0"/>
    <n v="1100"/>
    <n v="700"/>
    <n v="400"/>
    <n v="0.36363636363636365"/>
    <x v="3"/>
  </r>
  <r>
    <x v="80"/>
    <x v="2"/>
    <n v="10"/>
    <x v="6"/>
    <n v="46"/>
    <x v="0"/>
    <x v="2"/>
    <x v="7"/>
    <x v="0"/>
    <x v="1"/>
    <x v="30"/>
    <n v="1"/>
    <n v="900"/>
    <x v="3"/>
    <n v="1400"/>
    <n v="900"/>
    <n v="500"/>
    <n v="0.35714285714285715"/>
    <x v="3"/>
  </r>
  <r>
    <x v="84"/>
    <x v="2"/>
    <n v="10"/>
    <x v="4"/>
    <n v="46"/>
    <x v="0"/>
    <x v="0"/>
    <x v="1"/>
    <x v="0"/>
    <x v="0"/>
    <x v="0"/>
    <n v="4"/>
    <n v="700"/>
    <x v="0"/>
    <n v="4400"/>
    <n v="2800"/>
    <n v="1600"/>
    <n v="0.36363636363636365"/>
    <x v="3"/>
  </r>
  <r>
    <x v="89"/>
    <x v="2"/>
    <n v="10"/>
    <x v="2"/>
    <n v="46"/>
    <x v="1"/>
    <x v="2"/>
    <x v="7"/>
    <x v="0"/>
    <x v="3"/>
    <x v="23"/>
    <n v="2"/>
    <n v="530"/>
    <x v="8"/>
    <n v="1680"/>
    <n v="1060"/>
    <n v="620"/>
    <n v="0.36904761904761907"/>
    <x v="3"/>
  </r>
  <r>
    <x v="89"/>
    <x v="2"/>
    <n v="10"/>
    <x v="2"/>
    <n v="46"/>
    <x v="0"/>
    <x v="2"/>
    <x v="7"/>
    <x v="0"/>
    <x v="1"/>
    <x v="30"/>
    <n v="1"/>
    <n v="900"/>
    <x v="3"/>
    <n v="1400"/>
    <n v="900"/>
    <n v="500"/>
    <n v="0.35714285714285715"/>
    <x v="3"/>
  </r>
  <r>
    <x v="73"/>
    <x v="2"/>
    <n v="10"/>
    <x v="6"/>
    <n v="46"/>
    <x v="0"/>
    <x v="1"/>
    <x v="22"/>
    <x v="1"/>
    <x v="2"/>
    <x v="3"/>
    <n v="2"/>
    <n v="550"/>
    <x v="2"/>
    <n v="1700"/>
    <n v="1100"/>
    <n v="600"/>
    <n v="0.35294117647058826"/>
    <x v="3"/>
  </r>
  <r>
    <x v="82"/>
    <x v="2"/>
    <n v="10"/>
    <x v="6"/>
    <n v="46"/>
    <x v="1"/>
    <x v="1"/>
    <x v="30"/>
    <x v="1"/>
    <x v="0"/>
    <x v="15"/>
    <n v="4"/>
    <n v="550"/>
    <x v="2"/>
    <n v="3400"/>
    <n v="2200"/>
    <n v="1200"/>
    <n v="0.35294117647058826"/>
    <x v="3"/>
  </r>
  <r>
    <x v="82"/>
    <x v="2"/>
    <n v="10"/>
    <x v="6"/>
    <n v="46"/>
    <x v="1"/>
    <x v="3"/>
    <x v="13"/>
    <x v="0"/>
    <x v="1"/>
    <x v="52"/>
    <n v="1"/>
    <n v="620"/>
    <x v="1"/>
    <n v="980"/>
    <n v="620"/>
    <n v="360"/>
    <n v="0.36734693877551022"/>
    <x v="3"/>
  </r>
  <r>
    <x v="67"/>
    <x v="2"/>
    <n v="10"/>
    <x v="4"/>
    <n v="46"/>
    <x v="1"/>
    <x v="2"/>
    <x v="7"/>
    <x v="0"/>
    <x v="3"/>
    <x v="23"/>
    <n v="1"/>
    <n v="530"/>
    <x v="8"/>
    <n v="840"/>
    <n v="530"/>
    <n v="310"/>
    <n v="0.36904761904761907"/>
    <x v="3"/>
  </r>
  <r>
    <x v="74"/>
    <x v="2"/>
    <n v="10"/>
    <x v="0"/>
    <n v="46"/>
    <x v="1"/>
    <x v="2"/>
    <x v="7"/>
    <x v="0"/>
    <x v="3"/>
    <x v="23"/>
    <n v="1"/>
    <n v="530"/>
    <x v="8"/>
    <n v="840"/>
    <n v="530"/>
    <n v="310"/>
    <n v="0.36904761904761907"/>
    <x v="3"/>
  </r>
  <r>
    <x v="68"/>
    <x v="2"/>
    <n v="10"/>
    <x v="1"/>
    <n v="46"/>
    <x v="0"/>
    <x v="5"/>
    <x v="16"/>
    <x v="0"/>
    <x v="0"/>
    <x v="7"/>
    <n v="4"/>
    <n v="700"/>
    <x v="0"/>
    <n v="4400"/>
    <n v="2800"/>
    <n v="1600"/>
    <n v="0.36363636363636365"/>
    <x v="3"/>
  </r>
  <r>
    <x v="45"/>
    <x v="2"/>
    <n v="10"/>
    <x v="1"/>
    <n v="46"/>
    <x v="1"/>
    <x v="0"/>
    <x v="0"/>
    <x v="0"/>
    <x v="0"/>
    <x v="0"/>
    <n v="1"/>
    <n v="700"/>
    <x v="0"/>
    <n v="1100"/>
    <n v="700"/>
    <n v="400"/>
    <n v="0.36363636363636365"/>
    <x v="3"/>
  </r>
  <r>
    <x v="2"/>
    <x v="0"/>
    <n v="11"/>
    <x v="0"/>
    <n v="46"/>
    <x v="0"/>
    <x v="2"/>
    <x v="5"/>
    <x v="1"/>
    <x v="0"/>
    <x v="41"/>
    <n v="1"/>
    <n v="550"/>
    <x v="2"/>
    <n v="850"/>
    <n v="550"/>
    <n v="300"/>
    <n v="0.35294117647058826"/>
    <x v="3"/>
  </r>
  <r>
    <x v="40"/>
    <x v="0"/>
    <n v="11"/>
    <x v="5"/>
    <n v="46"/>
    <x v="1"/>
    <x v="5"/>
    <x v="16"/>
    <x v="0"/>
    <x v="0"/>
    <x v="14"/>
    <n v="1"/>
    <n v="580"/>
    <x v="4"/>
    <n v="920"/>
    <n v="580"/>
    <n v="340"/>
    <n v="0.36956521739130432"/>
    <x v="3"/>
  </r>
  <r>
    <x v="24"/>
    <x v="0"/>
    <n v="11"/>
    <x v="2"/>
    <n v="46"/>
    <x v="1"/>
    <x v="2"/>
    <x v="5"/>
    <x v="1"/>
    <x v="2"/>
    <x v="3"/>
    <n v="1"/>
    <n v="550"/>
    <x v="2"/>
    <n v="850"/>
    <n v="550"/>
    <n v="300"/>
    <n v="0.35294117647058826"/>
    <x v="3"/>
  </r>
  <r>
    <x v="8"/>
    <x v="0"/>
    <n v="11"/>
    <x v="1"/>
    <n v="46"/>
    <x v="0"/>
    <x v="5"/>
    <x v="16"/>
    <x v="1"/>
    <x v="2"/>
    <x v="3"/>
    <n v="1"/>
    <n v="550"/>
    <x v="2"/>
    <n v="850"/>
    <n v="550"/>
    <n v="300"/>
    <n v="0.35294117647058826"/>
    <x v="3"/>
  </r>
  <r>
    <x v="16"/>
    <x v="1"/>
    <n v="12"/>
    <x v="4"/>
    <n v="46"/>
    <x v="1"/>
    <x v="0"/>
    <x v="1"/>
    <x v="0"/>
    <x v="0"/>
    <x v="0"/>
    <n v="1"/>
    <n v="700"/>
    <x v="0"/>
    <n v="1100"/>
    <n v="700"/>
    <n v="400"/>
    <n v="0.36363636363636365"/>
    <x v="3"/>
  </r>
  <r>
    <x v="88"/>
    <x v="1"/>
    <n v="12"/>
    <x v="1"/>
    <n v="46"/>
    <x v="1"/>
    <x v="0"/>
    <x v="0"/>
    <x v="0"/>
    <x v="0"/>
    <x v="0"/>
    <n v="4"/>
    <n v="700"/>
    <x v="0"/>
    <n v="4400"/>
    <n v="2800"/>
    <n v="1600"/>
    <n v="0.36363636363636365"/>
    <x v="3"/>
  </r>
  <r>
    <x v="29"/>
    <x v="1"/>
    <n v="12"/>
    <x v="1"/>
    <n v="46"/>
    <x v="0"/>
    <x v="3"/>
    <x v="13"/>
    <x v="0"/>
    <x v="1"/>
    <x v="2"/>
    <n v="1"/>
    <n v="620"/>
    <x v="1"/>
    <n v="980"/>
    <n v="620"/>
    <n v="360"/>
    <n v="0.36734693877551022"/>
    <x v="3"/>
  </r>
  <r>
    <x v="51"/>
    <x v="1"/>
    <n v="12"/>
    <x v="2"/>
    <n v="46"/>
    <x v="1"/>
    <x v="0"/>
    <x v="1"/>
    <x v="0"/>
    <x v="0"/>
    <x v="0"/>
    <n v="1"/>
    <n v="700"/>
    <x v="0"/>
    <n v="1100"/>
    <n v="700"/>
    <n v="400"/>
    <n v="0.36363636363636365"/>
    <x v="3"/>
  </r>
  <r>
    <x v="80"/>
    <x v="2"/>
    <n v="10"/>
    <x v="6"/>
    <n v="47"/>
    <x v="1"/>
    <x v="2"/>
    <x v="7"/>
    <x v="0"/>
    <x v="3"/>
    <x v="29"/>
    <n v="2"/>
    <n v="530"/>
    <x v="8"/>
    <n v="1680"/>
    <n v="1060"/>
    <n v="620"/>
    <n v="0.36904761904761907"/>
    <x v="3"/>
  </r>
  <r>
    <x v="85"/>
    <x v="2"/>
    <n v="10"/>
    <x v="1"/>
    <n v="47"/>
    <x v="1"/>
    <x v="0"/>
    <x v="0"/>
    <x v="0"/>
    <x v="1"/>
    <x v="5"/>
    <n v="1"/>
    <n v="900"/>
    <x v="3"/>
    <n v="1400"/>
    <n v="900"/>
    <n v="500"/>
    <n v="0.35714285714285715"/>
    <x v="3"/>
  </r>
  <r>
    <x v="90"/>
    <x v="2"/>
    <n v="10"/>
    <x v="4"/>
    <n v="47"/>
    <x v="1"/>
    <x v="0"/>
    <x v="1"/>
    <x v="1"/>
    <x v="2"/>
    <x v="18"/>
    <n v="1"/>
    <n v="480"/>
    <x v="6"/>
    <n v="760"/>
    <n v="480"/>
    <n v="280"/>
    <n v="0.36842105263157893"/>
    <x v="3"/>
  </r>
  <r>
    <x v="10"/>
    <x v="2"/>
    <n v="10"/>
    <x v="5"/>
    <n v="47"/>
    <x v="0"/>
    <x v="0"/>
    <x v="1"/>
    <x v="1"/>
    <x v="2"/>
    <x v="21"/>
    <n v="1"/>
    <n v="480"/>
    <x v="6"/>
    <n v="760"/>
    <n v="480"/>
    <n v="280"/>
    <n v="0.36842105263157893"/>
    <x v="3"/>
  </r>
  <r>
    <x v="82"/>
    <x v="2"/>
    <n v="10"/>
    <x v="6"/>
    <n v="47"/>
    <x v="0"/>
    <x v="2"/>
    <x v="7"/>
    <x v="0"/>
    <x v="1"/>
    <x v="59"/>
    <n v="4"/>
    <n v="500"/>
    <x v="10"/>
    <n v="3800"/>
    <n v="2000"/>
    <n v="1800"/>
    <n v="0.47368421052631576"/>
    <x v="3"/>
  </r>
  <r>
    <x v="82"/>
    <x v="2"/>
    <n v="10"/>
    <x v="6"/>
    <n v="47"/>
    <x v="1"/>
    <x v="2"/>
    <x v="31"/>
    <x v="0"/>
    <x v="1"/>
    <x v="52"/>
    <n v="2"/>
    <n v="620"/>
    <x v="1"/>
    <n v="1960"/>
    <n v="1240"/>
    <n v="720"/>
    <n v="0.36734693877551022"/>
    <x v="3"/>
  </r>
  <r>
    <x v="75"/>
    <x v="2"/>
    <n v="10"/>
    <x v="6"/>
    <n v="47"/>
    <x v="1"/>
    <x v="0"/>
    <x v="2"/>
    <x v="1"/>
    <x v="0"/>
    <x v="15"/>
    <n v="1"/>
    <n v="550"/>
    <x v="2"/>
    <n v="850"/>
    <n v="550"/>
    <n v="300"/>
    <n v="0.35294117647058826"/>
    <x v="3"/>
  </r>
  <r>
    <x v="45"/>
    <x v="2"/>
    <n v="10"/>
    <x v="1"/>
    <n v="47"/>
    <x v="1"/>
    <x v="1"/>
    <x v="4"/>
    <x v="0"/>
    <x v="1"/>
    <x v="34"/>
    <n v="1"/>
    <n v="580"/>
    <x v="4"/>
    <n v="920"/>
    <n v="580"/>
    <n v="340"/>
    <n v="0.36956521739130432"/>
    <x v="3"/>
  </r>
  <r>
    <x v="86"/>
    <x v="2"/>
    <n v="10"/>
    <x v="5"/>
    <n v="47"/>
    <x v="0"/>
    <x v="4"/>
    <x v="11"/>
    <x v="0"/>
    <x v="0"/>
    <x v="7"/>
    <n v="3"/>
    <n v="700"/>
    <x v="0"/>
    <n v="3300"/>
    <n v="2100"/>
    <n v="1200"/>
    <n v="0.36363636363636365"/>
    <x v="3"/>
  </r>
  <r>
    <x v="11"/>
    <x v="0"/>
    <n v="11"/>
    <x v="5"/>
    <n v="47"/>
    <x v="1"/>
    <x v="2"/>
    <x v="5"/>
    <x v="1"/>
    <x v="2"/>
    <x v="58"/>
    <n v="1"/>
    <n v="480"/>
    <x v="6"/>
    <n v="760"/>
    <n v="480"/>
    <n v="280"/>
    <n v="0.36842105263157893"/>
    <x v="3"/>
  </r>
  <r>
    <x v="57"/>
    <x v="1"/>
    <n v="12"/>
    <x v="3"/>
    <n v="47"/>
    <x v="0"/>
    <x v="0"/>
    <x v="1"/>
    <x v="0"/>
    <x v="0"/>
    <x v="7"/>
    <n v="4"/>
    <n v="700"/>
    <x v="0"/>
    <n v="4400"/>
    <n v="2800"/>
    <n v="1600"/>
    <n v="0.36363636363636365"/>
    <x v="3"/>
  </r>
  <r>
    <x v="47"/>
    <x v="1"/>
    <n v="12"/>
    <x v="0"/>
    <n v="47"/>
    <x v="0"/>
    <x v="5"/>
    <x v="16"/>
    <x v="1"/>
    <x v="2"/>
    <x v="20"/>
    <n v="1"/>
    <n v="550"/>
    <x v="2"/>
    <n v="850"/>
    <n v="550"/>
    <n v="300"/>
    <n v="0.35294117647058826"/>
    <x v="3"/>
  </r>
  <r>
    <x v="26"/>
    <x v="1"/>
    <n v="12"/>
    <x v="5"/>
    <n v="47"/>
    <x v="1"/>
    <x v="4"/>
    <x v="11"/>
    <x v="0"/>
    <x v="0"/>
    <x v="22"/>
    <n v="1"/>
    <n v="700"/>
    <x v="0"/>
    <n v="1100"/>
    <n v="700"/>
    <n v="400"/>
    <n v="0.36363636363636365"/>
    <x v="3"/>
  </r>
  <r>
    <x v="16"/>
    <x v="1"/>
    <n v="12"/>
    <x v="4"/>
    <n v="47"/>
    <x v="0"/>
    <x v="3"/>
    <x v="12"/>
    <x v="0"/>
    <x v="0"/>
    <x v="26"/>
    <n v="4"/>
    <n v="620"/>
    <x v="1"/>
    <n v="3920"/>
    <n v="2480"/>
    <n v="1440"/>
    <n v="0.36734693877551022"/>
    <x v="3"/>
  </r>
  <r>
    <x v="49"/>
    <x v="1"/>
    <n v="12"/>
    <x v="5"/>
    <n v="47"/>
    <x v="0"/>
    <x v="5"/>
    <x v="16"/>
    <x v="0"/>
    <x v="0"/>
    <x v="9"/>
    <n v="2"/>
    <n v="620"/>
    <x v="1"/>
    <n v="1960"/>
    <n v="1240"/>
    <n v="720"/>
    <n v="0.36734693877551022"/>
    <x v="3"/>
  </r>
  <r>
    <x v="58"/>
    <x v="1"/>
    <n v="12"/>
    <x v="6"/>
    <n v="47"/>
    <x v="0"/>
    <x v="0"/>
    <x v="0"/>
    <x v="0"/>
    <x v="0"/>
    <x v="0"/>
    <n v="2"/>
    <n v="700"/>
    <x v="0"/>
    <n v="2200"/>
    <n v="1400"/>
    <n v="800"/>
    <n v="0.36363636363636365"/>
    <x v="3"/>
  </r>
  <r>
    <x v="72"/>
    <x v="2"/>
    <n v="10"/>
    <x v="3"/>
    <n v="48"/>
    <x v="1"/>
    <x v="2"/>
    <x v="7"/>
    <x v="0"/>
    <x v="3"/>
    <x v="11"/>
    <n v="3"/>
    <n v="500"/>
    <x v="5"/>
    <n v="2400"/>
    <n v="1500"/>
    <n v="900"/>
    <n v="0.375"/>
    <x v="3"/>
  </r>
  <r>
    <x v="81"/>
    <x v="2"/>
    <n v="10"/>
    <x v="2"/>
    <n v="48"/>
    <x v="1"/>
    <x v="0"/>
    <x v="1"/>
    <x v="0"/>
    <x v="3"/>
    <x v="36"/>
    <n v="3"/>
    <n v="500"/>
    <x v="5"/>
    <n v="2400"/>
    <n v="1500"/>
    <n v="900"/>
    <n v="0.375"/>
    <x v="3"/>
  </r>
  <r>
    <x v="0"/>
    <x v="0"/>
    <n v="11"/>
    <x v="0"/>
    <n v="48"/>
    <x v="0"/>
    <x v="3"/>
    <x v="8"/>
    <x v="0"/>
    <x v="0"/>
    <x v="39"/>
    <n v="1"/>
    <n v="620"/>
    <x v="1"/>
    <n v="980"/>
    <n v="620"/>
    <n v="360"/>
    <n v="0.36734693877551022"/>
    <x v="3"/>
  </r>
  <r>
    <x v="13"/>
    <x v="0"/>
    <n v="11"/>
    <x v="6"/>
    <n v="48"/>
    <x v="0"/>
    <x v="2"/>
    <x v="5"/>
    <x v="1"/>
    <x v="2"/>
    <x v="3"/>
    <n v="3"/>
    <n v="550"/>
    <x v="2"/>
    <n v="2550"/>
    <n v="1650"/>
    <n v="900"/>
    <n v="0.35294117647058826"/>
    <x v="3"/>
  </r>
  <r>
    <x v="14"/>
    <x v="0"/>
    <n v="11"/>
    <x v="0"/>
    <n v="48"/>
    <x v="0"/>
    <x v="2"/>
    <x v="7"/>
    <x v="1"/>
    <x v="0"/>
    <x v="15"/>
    <n v="2"/>
    <n v="550"/>
    <x v="2"/>
    <n v="1700"/>
    <n v="1100"/>
    <n v="600"/>
    <n v="0.35294117647058826"/>
    <x v="3"/>
  </r>
  <r>
    <x v="40"/>
    <x v="0"/>
    <n v="11"/>
    <x v="5"/>
    <n v="48"/>
    <x v="0"/>
    <x v="2"/>
    <x v="7"/>
    <x v="1"/>
    <x v="0"/>
    <x v="15"/>
    <n v="1"/>
    <n v="550"/>
    <x v="2"/>
    <n v="850"/>
    <n v="550"/>
    <n v="300"/>
    <n v="0.35294117647058826"/>
    <x v="3"/>
  </r>
  <r>
    <x v="77"/>
    <x v="1"/>
    <n v="12"/>
    <x v="4"/>
    <n v="48"/>
    <x v="0"/>
    <x v="4"/>
    <x v="11"/>
    <x v="0"/>
    <x v="0"/>
    <x v="0"/>
    <n v="2"/>
    <n v="700"/>
    <x v="0"/>
    <n v="2200"/>
    <n v="1400"/>
    <n v="800"/>
    <n v="0.36363636363636365"/>
    <x v="3"/>
  </r>
  <r>
    <x v="17"/>
    <x v="1"/>
    <n v="12"/>
    <x v="2"/>
    <n v="48"/>
    <x v="1"/>
    <x v="4"/>
    <x v="11"/>
    <x v="0"/>
    <x v="0"/>
    <x v="7"/>
    <n v="4"/>
    <n v="700"/>
    <x v="0"/>
    <n v="4400"/>
    <n v="2800"/>
    <n v="1600"/>
    <n v="0.36363636363636365"/>
    <x v="3"/>
  </r>
  <r>
    <x v="4"/>
    <x v="0"/>
    <n v="11"/>
    <x v="2"/>
    <n v="49"/>
    <x v="1"/>
    <x v="2"/>
    <x v="7"/>
    <x v="1"/>
    <x v="0"/>
    <x v="15"/>
    <n v="1"/>
    <n v="550"/>
    <x v="2"/>
    <n v="850"/>
    <n v="550"/>
    <n v="300"/>
    <n v="0.35294117647058826"/>
    <x v="3"/>
  </r>
  <r>
    <x v="56"/>
    <x v="0"/>
    <n v="11"/>
    <x v="6"/>
    <n v="49"/>
    <x v="1"/>
    <x v="4"/>
    <x v="11"/>
    <x v="0"/>
    <x v="1"/>
    <x v="32"/>
    <n v="2"/>
    <n v="580"/>
    <x v="4"/>
    <n v="1840"/>
    <n v="1160"/>
    <n v="680"/>
    <n v="0.36956521739130432"/>
    <x v="3"/>
  </r>
  <r>
    <x v="25"/>
    <x v="1"/>
    <n v="12"/>
    <x v="1"/>
    <n v="49"/>
    <x v="0"/>
    <x v="5"/>
    <x v="16"/>
    <x v="0"/>
    <x v="1"/>
    <x v="34"/>
    <n v="1"/>
    <n v="580"/>
    <x v="4"/>
    <n v="920"/>
    <n v="580"/>
    <n v="340"/>
    <n v="0.36956521739130432"/>
    <x v="3"/>
  </r>
  <r>
    <x v="78"/>
    <x v="1"/>
    <n v="12"/>
    <x v="0"/>
    <n v="49"/>
    <x v="0"/>
    <x v="5"/>
    <x v="16"/>
    <x v="1"/>
    <x v="0"/>
    <x v="25"/>
    <n v="1"/>
    <n v="550"/>
    <x v="2"/>
    <n v="850"/>
    <n v="550"/>
    <n v="300"/>
    <n v="0.35294117647058826"/>
    <x v="3"/>
  </r>
  <r>
    <x v="28"/>
    <x v="1"/>
    <n v="12"/>
    <x v="3"/>
    <n v="49"/>
    <x v="1"/>
    <x v="3"/>
    <x v="12"/>
    <x v="0"/>
    <x v="1"/>
    <x v="8"/>
    <n v="3"/>
    <n v="580"/>
    <x v="4"/>
    <n v="2760"/>
    <n v="1740"/>
    <n v="1020"/>
    <n v="0.36956521739130432"/>
    <x v="3"/>
  </r>
  <r>
    <x v="71"/>
    <x v="1"/>
    <n v="12"/>
    <x v="0"/>
    <n v="49"/>
    <x v="0"/>
    <x v="0"/>
    <x v="1"/>
    <x v="0"/>
    <x v="0"/>
    <x v="6"/>
    <n v="1"/>
    <n v="700"/>
    <x v="0"/>
    <n v="1100"/>
    <n v="700"/>
    <n v="400"/>
    <n v="0.36363636363636365"/>
    <x v="3"/>
  </r>
  <r>
    <x v="80"/>
    <x v="2"/>
    <n v="10"/>
    <x v="6"/>
    <n v="50"/>
    <x v="0"/>
    <x v="0"/>
    <x v="2"/>
    <x v="1"/>
    <x v="0"/>
    <x v="19"/>
    <n v="1"/>
    <n v="480"/>
    <x v="6"/>
    <n v="760"/>
    <n v="480"/>
    <n v="280"/>
    <n v="0.36842105263157893"/>
    <x v="3"/>
  </r>
  <r>
    <x v="10"/>
    <x v="2"/>
    <n v="10"/>
    <x v="5"/>
    <n v="50"/>
    <x v="0"/>
    <x v="0"/>
    <x v="1"/>
    <x v="1"/>
    <x v="0"/>
    <x v="46"/>
    <n v="4"/>
    <n v="480"/>
    <x v="6"/>
    <n v="3040"/>
    <n v="1920"/>
    <n v="1120"/>
    <n v="0.36842105263157893"/>
    <x v="3"/>
  </r>
  <r>
    <x v="82"/>
    <x v="2"/>
    <n v="10"/>
    <x v="6"/>
    <n v="50"/>
    <x v="0"/>
    <x v="2"/>
    <x v="7"/>
    <x v="1"/>
    <x v="0"/>
    <x v="15"/>
    <n v="1"/>
    <n v="550"/>
    <x v="2"/>
    <n v="850"/>
    <n v="550"/>
    <n v="300"/>
    <n v="0.35294117647058826"/>
    <x v="3"/>
  </r>
  <r>
    <x v="74"/>
    <x v="2"/>
    <n v="10"/>
    <x v="0"/>
    <n v="50"/>
    <x v="0"/>
    <x v="0"/>
    <x v="0"/>
    <x v="1"/>
    <x v="2"/>
    <x v="58"/>
    <n v="1"/>
    <n v="480"/>
    <x v="6"/>
    <n v="760"/>
    <n v="480"/>
    <n v="280"/>
    <n v="0.36842105263157893"/>
    <x v="3"/>
  </r>
  <r>
    <x v="12"/>
    <x v="0"/>
    <n v="11"/>
    <x v="4"/>
    <n v="50"/>
    <x v="0"/>
    <x v="3"/>
    <x v="12"/>
    <x v="0"/>
    <x v="1"/>
    <x v="52"/>
    <n v="2"/>
    <n v="620"/>
    <x v="1"/>
    <n v="1960"/>
    <n v="1240"/>
    <n v="720"/>
    <n v="0.36734693877551022"/>
    <x v="3"/>
  </r>
  <r>
    <x v="30"/>
    <x v="0"/>
    <n v="11"/>
    <x v="5"/>
    <n v="50"/>
    <x v="1"/>
    <x v="2"/>
    <x v="5"/>
    <x v="1"/>
    <x v="0"/>
    <x v="15"/>
    <n v="1"/>
    <n v="550"/>
    <x v="2"/>
    <n v="850"/>
    <n v="550"/>
    <n v="300"/>
    <n v="0.35294117647058826"/>
    <x v="3"/>
  </r>
  <r>
    <x v="9"/>
    <x v="1"/>
    <n v="12"/>
    <x v="4"/>
    <n v="50"/>
    <x v="1"/>
    <x v="3"/>
    <x v="12"/>
    <x v="0"/>
    <x v="3"/>
    <x v="17"/>
    <n v="3"/>
    <n v="500"/>
    <x v="5"/>
    <n v="2400"/>
    <n v="1500"/>
    <n v="900"/>
    <n v="0.375"/>
    <x v="3"/>
  </r>
  <r>
    <x v="63"/>
    <x v="1"/>
    <n v="12"/>
    <x v="6"/>
    <n v="50"/>
    <x v="0"/>
    <x v="0"/>
    <x v="1"/>
    <x v="0"/>
    <x v="0"/>
    <x v="6"/>
    <n v="1"/>
    <n v="700"/>
    <x v="0"/>
    <n v="1100"/>
    <n v="700"/>
    <n v="400"/>
    <n v="0.36363636363636365"/>
    <x v="3"/>
  </r>
  <r>
    <x v="84"/>
    <x v="2"/>
    <n v="10"/>
    <x v="4"/>
    <n v="51"/>
    <x v="0"/>
    <x v="2"/>
    <x v="5"/>
    <x v="1"/>
    <x v="0"/>
    <x v="57"/>
    <n v="1"/>
    <n v="400"/>
    <x v="9"/>
    <n v="650"/>
    <n v="400"/>
    <n v="250"/>
    <n v="0.38461538461538464"/>
    <x v="3"/>
  </r>
  <r>
    <x v="74"/>
    <x v="2"/>
    <n v="10"/>
    <x v="0"/>
    <n v="51"/>
    <x v="0"/>
    <x v="2"/>
    <x v="9"/>
    <x v="1"/>
    <x v="0"/>
    <x v="25"/>
    <n v="4"/>
    <n v="550"/>
    <x v="2"/>
    <n v="3400"/>
    <n v="2200"/>
    <n v="1200"/>
    <n v="0.35294117647058826"/>
    <x v="3"/>
  </r>
  <r>
    <x v="68"/>
    <x v="2"/>
    <n v="10"/>
    <x v="1"/>
    <n v="51"/>
    <x v="1"/>
    <x v="0"/>
    <x v="1"/>
    <x v="1"/>
    <x v="2"/>
    <x v="40"/>
    <n v="1"/>
    <n v="550"/>
    <x v="2"/>
    <n v="850"/>
    <n v="550"/>
    <n v="300"/>
    <n v="0.35294117647058826"/>
    <x v="3"/>
  </r>
  <r>
    <x v="45"/>
    <x v="2"/>
    <n v="10"/>
    <x v="1"/>
    <n v="51"/>
    <x v="1"/>
    <x v="2"/>
    <x v="7"/>
    <x v="1"/>
    <x v="2"/>
    <x v="13"/>
    <n v="1"/>
    <n v="450"/>
    <x v="7"/>
    <n v="720"/>
    <n v="450"/>
    <n v="270"/>
    <n v="0.375"/>
    <x v="3"/>
  </r>
  <r>
    <x v="46"/>
    <x v="2"/>
    <n v="10"/>
    <x v="6"/>
    <n v="51"/>
    <x v="0"/>
    <x v="2"/>
    <x v="7"/>
    <x v="1"/>
    <x v="2"/>
    <x v="49"/>
    <n v="4"/>
    <n v="450"/>
    <x v="7"/>
    <n v="2880"/>
    <n v="1800"/>
    <n v="1080"/>
    <n v="0.375"/>
    <x v="3"/>
  </r>
  <r>
    <x v="79"/>
    <x v="1"/>
    <n v="12"/>
    <x v="0"/>
    <n v="51"/>
    <x v="1"/>
    <x v="0"/>
    <x v="1"/>
    <x v="0"/>
    <x v="3"/>
    <x v="37"/>
    <n v="1"/>
    <n v="530"/>
    <x v="8"/>
    <n v="840"/>
    <n v="530"/>
    <n v="310"/>
    <n v="0.36904761904761907"/>
    <x v="3"/>
  </r>
  <r>
    <x v="84"/>
    <x v="2"/>
    <n v="10"/>
    <x v="4"/>
    <n v="52"/>
    <x v="0"/>
    <x v="0"/>
    <x v="1"/>
    <x v="1"/>
    <x v="2"/>
    <x v="20"/>
    <n v="1"/>
    <n v="550"/>
    <x v="2"/>
    <n v="850"/>
    <n v="550"/>
    <n v="300"/>
    <n v="0.35294117647058826"/>
    <x v="3"/>
  </r>
  <r>
    <x v="43"/>
    <x v="2"/>
    <n v="10"/>
    <x v="2"/>
    <n v="52"/>
    <x v="0"/>
    <x v="2"/>
    <x v="7"/>
    <x v="1"/>
    <x v="2"/>
    <x v="3"/>
    <n v="2"/>
    <n v="550"/>
    <x v="2"/>
    <n v="1700"/>
    <n v="1100"/>
    <n v="600"/>
    <n v="0.35294117647058826"/>
    <x v="3"/>
  </r>
  <r>
    <x v="30"/>
    <x v="0"/>
    <n v="11"/>
    <x v="5"/>
    <n v="52"/>
    <x v="0"/>
    <x v="5"/>
    <x v="16"/>
    <x v="1"/>
    <x v="0"/>
    <x v="41"/>
    <n v="3"/>
    <n v="550"/>
    <x v="2"/>
    <n v="2550"/>
    <n v="1650"/>
    <n v="900"/>
    <n v="0.35294117647058826"/>
    <x v="3"/>
  </r>
  <r>
    <x v="62"/>
    <x v="0"/>
    <n v="11"/>
    <x v="4"/>
    <n v="52"/>
    <x v="1"/>
    <x v="4"/>
    <x v="11"/>
    <x v="0"/>
    <x v="3"/>
    <x v="35"/>
    <n v="2"/>
    <n v="500"/>
    <x v="5"/>
    <n v="1600"/>
    <n v="1000"/>
    <n v="600"/>
    <n v="0.375"/>
    <x v="3"/>
  </r>
  <r>
    <x v="16"/>
    <x v="1"/>
    <n v="12"/>
    <x v="4"/>
    <n v="52"/>
    <x v="1"/>
    <x v="5"/>
    <x v="16"/>
    <x v="0"/>
    <x v="0"/>
    <x v="14"/>
    <n v="3"/>
    <n v="580"/>
    <x v="4"/>
    <n v="2760"/>
    <n v="1740"/>
    <n v="1020"/>
    <n v="0.36956521739130432"/>
    <x v="3"/>
  </r>
  <r>
    <x v="64"/>
    <x v="1"/>
    <n v="12"/>
    <x v="3"/>
    <n v="52"/>
    <x v="1"/>
    <x v="5"/>
    <x v="16"/>
    <x v="0"/>
    <x v="0"/>
    <x v="14"/>
    <n v="2"/>
    <n v="580"/>
    <x v="4"/>
    <n v="1840"/>
    <n v="1160"/>
    <n v="680"/>
    <n v="0.36956521739130432"/>
    <x v="3"/>
  </r>
  <r>
    <x v="72"/>
    <x v="2"/>
    <n v="10"/>
    <x v="3"/>
    <n v="53"/>
    <x v="0"/>
    <x v="0"/>
    <x v="1"/>
    <x v="1"/>
    <x v="0"/>
    <x v="41"/>
    <n v="1"/>
    <n v="550"/>
    <x v="2"/>
    <n v="850"/>
    <n v="550"/>
    <n v="300"/>
    <n v="0.35294117647058826"/>
    <x v="3"/>
  </r>
  <r>
    <x v="34"/>
    <x v="2"/>
    <n v="10"/>
    <x v="0"/>
    <n v="53"/>
    <x v="0"/>
    <x v="1"/>
    <x v="23"/>
    <x v="0"/>
    <x v="0"/>
    <x v="14"/>
    <n v="4"/>
    <n v="580"/>
    <x v="4"/>
    <n v="3680"/>
    <n v="2320"/>
    <n v="1360"/>
    <n v="0.36956521739130432"/>
    <x v="3"/>
  </r>
  <r>
    <x v="66"/>
    <x v="2"/>
    <n v="10"/>
    <x v="1"/>
    <n v="53"/>
    <x v="1"/>
    <x v="5"/>
    <x v="16"/>
    <x v="0"/>
    <x v="0"/>
    <x v="10"/>
    <n v="1"/>
    <n v="580"/>
    <x v="4"/>
    <n v="920"/>
    <n v="580"/>
    <n v="340"/>
    <n v="0.36956521739130432"/>
    <x v="3"/>
  </r>
  <r>
    <x v="46"/>
    <x v="2"/>
    <n v="10"/>
    <x v="6"/>
    <n v="53"/>
    <x v="0"/>
    <x v="1"/>
    <x v="15"/>
    <x v="0"/>
    <x v="1"/>
    <x v="16"/>
    <n v="3"/>
    <n v="900"/>
    <x v="3"/>
    <n v="4200"/>
    <n v="2700"/>
    <n v="1500"/>
    <n v="0.35714285714285715"/>
    <x v="3"/>
  </r>
  <r>
    <x v="62"/>
    <x v="0"/>
    <n v="11"/>
    <x v="4"/>
    <n v="53"/>
    <x v="0"/>
    <x v="5"/>
    <x v="16"/>
    <x v="1"/>
    <x v="2"/>
    <x v="3"/>
    <n v="2"/>
    <n v="550"/>
    <x v="2"/>
    <n v="1700"/>
    <n v="1100"/>
    <n v="600"/>
    <n v="0.35294117647058826"/>
    <x v="3"/>
  </r>
  <r>
    <x v="34"/>
    <x v="2"/>
    <n v="10"/>
    <x v="0"/>
    <n v="54"/>
    <x v="1"/>
    <x v="5"/>
    <x v="16"/>
    <x v="0"/>
    <x v="0"/>
    <x v="6"/>
    <n v="1"/>
    <n v="700"/>
    <x v="0"/>
    <n v="1100"/>
    <n v="700"/>
    <n v="400"/>
    <n v="0.36363636363636365"/>
    <x v="3"/>
  </r>
  <r>
    <x v="36"/>
    <x v="2"/>
    <n v="10"/>
    <x v="2"/>
    <n v="54"/>
    <x v="1"/>
    <x v="5"/>
    <x v="16"/>
    <x v="0"/>
    <x v="0"/>
    <x v="6"/>
    <n v="4"/>
    <n v="700"/>
    <x v="0"/>
    <n v="4400"/>
    <n v="2800"/>
    <n v="1600"/>
    <n v="0.36363636363636365"/>
    <x v="3"/>
  </r>
  <r>
    <x v="36"/>
    <x v="2"/>
    <n v="10"/>
    <x v="2"/>
    <n v="54"/>
    <x v="0"/>
    <x v="0"/>
    <x v="2"/>
    <x v="0"/>
    <x v="3"/>
    <x v="33"/>
    <n v="2"/>
    <n v="500"/>
    <x v="5"/>
    <n v="1600"/>
    <n v="1000"/>
    <n v="600"/>
    <n v="0.375"/>
    <x v="3"/>
  </r>
  <r>
    <x v="46"/>
    <x v="2"/>
    <n v="10"/>
    <x v="6"/>
    <n v="54"/>
    <x v="0"/>
    <x v="0"/>
    <x v="1"/>
    <x v="0"/>
    <x v="0"/>
    <x v="48"/>
    <n v="1"/>
    <n v="620"/>
    <x v="1"/>
    <n v="980"/>
    <n v="620"/>
    <n v="360"/>
    <n v="0.36734693877551022"/>
    <x v="3"/>
  </r>
  <r>
    <x v="57"/>
    <x v="1"/>
    <n v="12"/>
    <x v="3"/>
    <n v="54"/>
    <x v="0"/>
    <x v="2"/>
    <x v="7"/>
    <x v="0"/>
    <x v="3"/>
    <x v="35"/>
    <n v="1"/>
    <n v="500"/>
    <x v="5"/>
    <n v="800"/>
    <n v="500"/>
    <n v="300"/>
    <n v="0.375"/>
    <x v="3"/>
  </r>
  <r>
    <x v="15"/>
    <x v="1"/>
    <n v="12"/>
    <x v="6"/>
    <n v="54"/>
    <x v="0"/>
    <x v="2"/>
    <x v="5"/>
    <x v="0"/>
    <x v="3"/>
    <x v="11"/>
    <n v="1"/>
    <n v="500"/>
    <x v="5"/>
    <n v="800"/>
    <n v="500"/>
    <n v="300"/>
    <n v="0.375"/>
    <x v="3"/>
  </r>
  <r>
    <x v="78"/>
    <x v="1"/>
    <n v="12"/>
    <x v="0"/>
    <n v="54"/>
    <x v="1"/>
    <x v="2"/>
    <x v="5"/>
    <x v="0"/>
    <x v="1"/>
    <x v="2"/>
    <n v="1"/>
    <n v="620"/>
    <x v="1"/>
    <n v="980"/>
    <n v="620"/>
    <n v="360"/>
    <n v="0.36734693877551022"/>
    <x v="3"/>
  </r>
  <r>
    <x v="59"/>
    <x v="1"/>
    <n v="12"/>
    <x v="4"/>
    <n v="54"/>
    <x v="0"/>
    <x v="0"/>
    <x v="0"/>
    <x v="1"/>
    <x v="0"/>
    <x v="25"/>
    <n v="2"/>
    <n v="550"/>
    <x v="2"/>
    <n v="1700"/>
    <n v="1100"/>
    <n v="600"/>
    <n v="0.35294117647058826"/>
    <x v="3"/>
  </r>
  <r>
    <x v="35"/>
    <x v="2"/>
    <n v="10"/>
    <x v="3"/>
    <n v="55"/>
    <x v="0"/>
    <x v="0"/>
    <x v="0"/>
    <x v="0"/>
    <x v="3"/>
    <x v="23"/>
    <n v="4"/>
    <n v="530"/>
    <x v="8"/>
    <n v="3360"/>
    <n v="2120"/>
    <n v="1240"/>
    <n v="0.36904761904761907"/>
    <x v="4"/>
  </r>
  <r>
    <x v="10"/>
    <x v="2"/>
    <n v="10"/>
    <x v="5"/>
    <n v="55"/>
    <x v="0"/>
    <x v="0"/>
    <x v="1"/>
    <x v="0"/>
    <x v="0"/>
    <x v="22"/>
    <n v="1"/>
    <n v="700"/>
    <x v="0"/>
    <n v="1100"/>
    <n v="700"/>
    <n v="400"/>
    <n v="0.36363636363636365"/>
    <x v="4"/>
  </r>
  <r>
    <x v="88"/>
    <x v="1"/>
    <n v="12"/>
    <x v="1"/>
    <n v="55"/>
    <x v="0"/>
    <x v="2"/>
    <x v="5"/>
    <x v="0"/>
    <x v="3"/>
    <x v="17"/>
    <n v="1"/>
    <n v="500"/>
    <x v="5"/>
    <n v="800"/>
    <n v="500"/>
    <n v="300"/>
    <n v="0.375"/>
    <x v="4"/>
  </r>
  <r>
    <x v="68"/>
    <x v="2"/>
    <n v="10"/>
    <x v="1"/>
    <n v="56"/>
    <x v="0"/>
    <x v="0"/>
    <x v="1"/>
    <x v="0"/>
    <x v="3"/>
    <x v="35"/>
    <n v="3"/>
    <n v="500"/>
    <x v="5"/>
    <n v="2400"/>
    <n v="1500"/>
    <n v="900"/>
    <n v="0.375"/>
    <x v="4"/>
  </r>
  <r>
    <x v="0"/>
    <x v="0"/>
    <n v="11"/>
    <x v="0"/>
    <n v="56"/>
    <x v="1"/>
    <x v="2"/>
    <x v="9"/>
    <x v="0"/>
    <x v="0"/>
    <x v="10"/>
    <n v="1"/>
    <n v="580"/>
    <x v="4"/>
    <n v="920"/>
    <n v="580"/>
    <n v="340"/>
    <n v="0.36956521739130432"/>
    <x v="4"/>
  </r>
  <r>
    <x v="12"/>
    <x v="0"/>
    <n v="11"/>
    <x v="4"/>
    <n v="56"/>
    <x v="1"/>
    <x v="2"/>
    <x v="7"/>
    <x v="0"/>
    <x v="3"/>
    <x v="35"/>
    <n v="4"/>
    <n v="500"/>
    <x v="5"/>
    <n v="3200"/>
    <n v="2000"/>
    <n v="1200"/>
    <n v="0.375"/>
    <x v="4"/>
  </r>
  <r>
    <x v="22"/>
    <x v="0"/>
    <n v="11"/>
    <x v="4"/>
    <n v="56"/>
    <x v="0"/>
    <x v="2"/>
    <x v="5"/>
    <x v="0"/>
    <x v="1"/>
    <x v="34"/>
    <n v="1"/>
    <n v="580"/>
    <x v="4"/>
    <n v="920"/>
    <n v="580"/>
    <n v="340"/>
    <n v="0.36956521739130432"/>
    <x v="4"/>
  </r>
  <r>
    <x v="22"/>
    <x v="0"/>
    <n v="11"/>
    <x v="4"/>
    <n v="56"/>
    <x v="0"/>
    <x v="2"/>
    <x v="5"/>
    <x v="0"/>
    <x v="1"/>
    <x v="34"/>
    <n v="1"/>
    <n v="580"/>
    <x v="4"/>
    <n v="920"/>
    <n v="580"/>
    <n v="340"/>
    <n v="0.36956521739130432"/>
    <x v="4"/>
  </r>
  <r>
    <x v="56"/>
    <x v="0"/>
    <n v="11"/>
    <x v="6"/>
    <n v="56"/>
    <x v="1"/>
    <x v="2"/>
    <x v="5"/>
    <x v="0"/>
    <x v="0"/>
    <x v="6"/>
    <n v="3"/>
    <n v="700"/>
    <x v="0"/>
    <n v="3300"/>
    <n v="2100"/>
    <n v="1200"/>
    <n v="0.36363636363636365"/>
    <x v="4"/>
  </r>
  <r>
    <x v="15"/>
    <x v="1"/>
    <n v="12"/>
    <x v="6"/>
    <n v="56"/>
    <x v="0"/>
    <x v="2"/>
    <x v="7"/>
    <x v="0"/>
    <x v="1"/>
    <x v="8"/>
    <n v="4"/>
    <n v="580"/>
    <x v="4"/>
    <n v="3680"/>
    <n v="2320"/>
    <n v="1360"/>
    <n v="0.36956521739130432"/>
    <x v="4"/>
  </r>
  <r>
    <x v="9"/>
    <x v="1"/>
    <n v="12"/>
    <x v="4"/>
    <n v="56"/>
    <x v="1"/>
    <x v="3"/>
    <x v="8"/>
    <x v="1"/>
    <x v="0"/>
    <x v="15"/>
    <n v="2"/>
    <n v="550"/>
    <x v="2"/>
    <n v="1700"/>
    <n v="1100"/>
    <n v="600"/>
    <n v="0.35294117647058826"/>
    <x v="4"/>
  </r>
  <r>
    <x v="66"/>
    <x v="2"/>
    <n v="10"/>
    <x v="1"/>
    <n v="57"/>
    <x v="0"/>
    <x v="0"/>
    <x v="2"/>
    <x v="0"/>
    <x v="3"/>
    <x v="17"/>
    <n v="1"/>
    <n v="500"/>
    <x v="5"/>
    <n v="800"/>
    <n v="500"/>
    <n v="300"/>
    <n v="0.375"/>
    <x v="4"/>
  </r>
  <r>
    <x v="53"/>
    <x v="2"/>
    <n v="10"/>
    <x v="3"/>
    <n v="57"/>
    <x v="0"/>
    <x v="0"/>
    <x v="1"/>
    <x v="0"/>
    <x v="1"/>
    <x v="30"/>
    <n v="4"/>
    <n v="900"/>
    <x v="3"/>
    <n v="5600"/>
    <n v="3600"/>
    <n v="2000"/>
    <n v="0.35714285714285715"/>
    <x v="4"/>
  </r>
  <r>
    <x v="43"/>
    <x v="2"/>
    <n v="10"/>
    <x v="2"/>
    <n v="57"/>
    <x v="1"/>
    <x v="0"/>
    <x v="0"/>
    <x v="0"/>
    <x v="0"/>
    <x v="7"/>
    <n v="3"/>
    <n v="700"/>
    <x v="0"/>
    <n v="3300"/>
    <n v="2100"/>
    <n v="1200"/>
    <n v="0.36363636363636365"/>
    <x v="4"/>
  </r>
  <r>
    <x v="45"/>
    <x v="2"/>
    <n v="10"/>
    <x v="1"/>
    <n v="57"/>
    <x v="0"/>
    <x v="0"/>
    <x v="2"/>
    <x v="0"/>
    <x v="3"/>
    <x v="17"/>
    <n v="1"/>
    <n v="500"/>
    <x v="5"/>
    <n v="800"/>
    <n v="500"/>
    <n v="300"/>
    <n v="0.375"/>
    <x v="4"/>
  </r>
  <r>
    <x v="37"/>
    <x v="2"/>
    <n v="10"/>
    <x v="4"/>
    <n v="57"/>
    <x v="0"/>
    <x v="0"/>
    <x v="0"/>
    <x v="0"/>
    <x v="3"/>
    <x v="33"/>
    <n v="1"/>
    <n v="500"/>
    <x v="5"/>
    <n v="800"/>
    <n v="500"/>
    <n v="300"/>
    <n v="0.375"/>
    <x v="4"/>
  </r>
  <r>
    <x v="8"/>
    <x v="0"/>
    <n v="11"/>
    <x v="1"/>
    <n v="57"/>
    <x v="0"/>
    <x v="2"/>
    <x v="7"/>
    <x v="0"/>
    <x v="1"/>
    <x v="8"/>
    <n v="1"/>
    <n v="580"/>
    <x v="4"/>
    <n v="920"/>
    <n v="580"/>
    <n v="340"/>
    <n v="0.36956521739130432"/>
    <x v="4"/>
  </r>
  <r>
    <x v="77"/>
    <x v="1"/>
    <n v="12"/>
    <x v="4"/>
    <n v="57"/>
    <x v="0"/>
    <x v="0"/>
    <x v="1"/>
    <x v="0"/>
    <x v="1"/>
    <x v="30"/>
    <n v="1"/>
    <n v="900"/>
    <x v="3"/>
    <n v="1400"/>
    <n v="900"/>
    <n v="500"/>
    <n v="0.35714285714285715"/>
    <x v="4"/>
  </r>
  <r>
    <x v="9"/>
    <x v="1"/>
    <n v="12"/>
    <x v="4"/>
    <n v="57"/>
    <x v="1"/>
    <x v="0"/>
    <x v="1"/>
    <x v="0"/>
    <x v="3"/>
    <x v="38"/>
    <n v="1"/>
    <n v="530"/>
    <x v="8"/>
    <n v="840"/>
    <n v="530"/>
    <n v="310"/>
    <n v="0.36904761904761907"/>
    <x v="4"/>
  </r>
  <r>
    <x v="79"/>
    <x v="1"/>
    <n v="12"/>
    <x v="0"/>
    <n v="57"/>
    <x v="0"/>
    <x v="0"/>
    <x v="2"/>
    <x v="1"/>
    <x v="0"/>
    <x v="15"/>
    <n v="4"/>
    <n v="550"/>
    <x v="2"/>
    <n v="3400"/>
    <n v="2200"/>
    <n v="1200"/>
    <n v="0.35294117647058826"/>
    <x v="4"/>
  </r>
  <r>
    <x v="27"/>
    <x v="1"/>
    <n v="12"/>
    <x v="2"/>
    <n v="57"/>
    <x v="1"/>
    <x v="0"/>
    <x v="2"/>
    <x v="0"/>
    <x v="1"/>
    <x v="30"/>
    <n v="1"/>
    <n v="900"/>
    <x v="3"/>
    <n v="1400"/>
    <n v="900"/>
    <n v="500"/>
    <n v="0.35714285714285715"/>
    <x v="4"/>
  </r>
  <r>
    <x v="91"/>
    <x v="0"/>
    <n v="11"/>
    <x v="2"/>
    <n v="58"/>
    <x v="1"/>
    <x v="2"/>
    <x v="9"/>
    <x v="0"/>
    <x v="0"/>
    <x v="10"/>
    <n v="1"/>
    <n v="580"/>
    <x v="4"/>
    <n v="920"/>
    <n v="580"/>
    <n v="340"/>
    <n v="0.36956521739130432"/>
    <x v="4"/>
  </r>
  <r>
    <x v="32"/>
    <x v="0"/>
    <n v="11"/>
    <x v="4"/>
    <n v="59"/>
    <x v="1"/>
    <x v="5"/>
    <x v="16"/>
    <x v="0"/>
    <x v="1"/>
    <x v="32"/>
    <n v="2"/>
    <n v="580"/>
    <x v="4"/>
    <n v="1840"/>
    <n v="1160"/>
    <n v="680"/>
    <n v="0.36956521739130432"/>
    <x v="4"/>
  </r>
  <r>
    <x v="57"/>
    <x v="1"/>
    <n v="12"/>
    <x v="3"/>
    <n v="59"/>
    <x v="1"/>
    <x v="5"/>
    <x v="16"/>
    <x v="0"/>
    <x v="1"/>
    <x v="32"/>
    <n v="4"/>
    <n v="580"/>
    <x v="4"/>
    <n v="3680"/>
    <n v="2320"/>
    <n v="1360"/>
    <n v="0.36956521739130432"/>
    <x v="4"/>
  </r>
  <r>
    <x v="55"/>
    <x v="0"/>
    <n v="11"/>
    <x v="6"/>
    <n v="60"/>
    <x v="0"/>
    <x v="2"/>
    <x v="7"/>
    <x v="0"/>
    <x v="1"/>
    <x v="16"/>
    <n v="1"/>
    <n v="900"/>
    <x v="3"/>
    <n v="1400"/>
    <n v="900"/>
    <n v="500"/>
    <n v="0.35714285714285715"/>
    <x v="4"/>
  </r>
  <r>
    <x v="8"/>
    <x v="0"/>
    <n v="11"/>
    <x v="1"/>
    <n v="60"/>
    <x v="1"/>
    <x v="2"/>
    <x v="7"/>
    <x v="0"/>
    <x v="3"/>
    <x v="35"/>
    <n v="4"/>
    <n v="500"/>
    <x v="5"/>
    <n v="3200"/>
    <n v="2000"/>
    <n v="1200"/>
    <n v="0.375"/>
    <x v="4"/>
  </r>
  <r>
    <x v="77"/>
    <x v="1"/>
    <n v="12"/>
    <x v="4"/>
    <n v="60"/>
    <x v="0"/>
    <x v="2"/>
    <x v="7"/>
    <x v="0"/>
    <x v="1"/>
    <x v="16"/>
    <n v="4"/>
    <n v="900"/>
    <x v="3"/>
    <n v="5600"/>
    <n v="3600"/>
    <n v="2000"/>
    <n v="0.35714285714285715"/>
    <x v="4"/>
  </r>
  <r>
    <x v="69"/>
    <x v="2"/>
    <n v="10"/>
    <x v="5"/>
    <n v="61"/>
    <x v="0"/>
    <x v="2"/>
    <x v="5"/>
    <x v="0"/>
    <x v="0"/>
    <x v="24"/>
    <n v="1"/>
    <n v="580"/>
    <x v="4"/>
    <n v="920"/>
    <n v="580"/>
    <n v="340"/>
    <n v="0.36956521739130432"/>
    <x v="4"/>
  </r>
  <r>
    <x v="43"/>
    <x v="2"/>
    <n v="10"/>
    <x v="2"/>
    <n v="61"/>
    <x v="1"/>
    <x v="2"/>
    <x v="7"/>
    <x v="0"/>
    <x v="1"/>
    <x v="30"/>
    <n v="2"/>
    <n v="900"/>
    <x v="3"/>
    <n v="2800"/>
    <n v="1800"/>
    <n v="1000"/>
    <n v="0.35714285714285715"/>
    <x v="4"/>
  </r>
  <r>
    <x v="6"/>
    <x v="0"/>
    <n v="11"/>
    <x v="3"/>
    <n v="61"/>
    <x v="1"/>
    <x v="2"/>
    <x v="7"/>
    <x v="0"/>
    <x v="1"/>
    <x v="30"/>
    <n v="1"/>
    <n v="900"/>
    <x v="3"/>
    <n v="1400"/>
    <n v="900"/>
    <n v="500"/>
    <n v="0.35714285714285715"/>
    <x v="4"/>
  </r>
  <r>
    <x v="72"/>
    <x v="2"/>
    <n v="10"/>
    <x v="3"/>
    <n v="62"/>
    <x v="0"/>
    <x v="2"/>
    <x v="7"/>
    <x v="0"/>
    <x v="1"/>
    <x v="4"/>
    <n v="1"/>
    <n v="900"/>
    <x v="3"/>
    <n v="1400"/>
    <n v="900"/>
    <n v="500"/>
    <n v="0.35714285714285715"/>
    <x v="4"/>
  </r>
  <r>
    <x v="61"/>
    <x v="0"/>
    <n v="11"/>
    <x v="1"/>
    <n v="63"/>
    <x v="1"/>
    <x v="2"/>
    <x v="7"/>
    <x v="0"/>
    <x v="0"/>
    <x v="28"/>
    <n v="4"/>
    <n v="580"/>
    <x v="4"/>
    <n v="3680"/>
    <n v="2320"/>
    <n v="1360"/>
    <n v="0.36956521739130432"/>
    <x v="4"/>
  </r>
  <r>
    <x v="9"/>
    <x v="1"/>
    <n v="12"/>
    <x v="4"/>
    <n v="63"/>
    <x v="1"/>
    <x v="0"/>
    <x v="2"/>
    <x v="1"/>
    <x v="0"/>
    <x v="15"/>
    <n v="4"/>
    <n v="550"/>
    <x v="2"/>
    <n v="3400"/>
    <n v="2200"/>
    <n v="1200"/>
    <n v="0.35294117647058826"/>
    <x v="4"/>
  </r>
  <r>
    <x v="78"/>
    <x v="1"/>
    <n v="12"/>
    <x v="0"/>
    <n v="69"/>
    <x v="0"/>
    <x v="0"/>
    <x v="2"/>
    <x v="0"/>
    <x v="1"/>
    <x v="8"/>
    <n v="1"/>
    <n v="580"/>
    <x v="4"/>
    <n v="920"/>
    <n v="580"/>
    <n v="340"/>
    <n v="0.36956521739130432"/>
    <x v="4"/>
  </r>
  <r>
    <x v="70"/>
    <x v="1"/>
    <n v="12"/>
    <x v="2"/>
    <n v="75"/>
    <x v="0"/>
    <x v="5"/>
    <x v="16"/>
    <x v="0"/>
    <x v="0"/>
    <x v="24"/>
    <n v="2"/>
    <n v="580"/>
    <x v="4"/>
    <n v="1840"/>
    <n v="1160"/>
    <n v="680"/>
    <n v="0.36956521739130432"/>
    <x v="4"/>
  </r>
  <r>
    <x v="92"/>
    <x v="3"/>
    <m/>
    <x v="7"/>
    <m/>
    <x v="2"/>
    <x v="6"/>
    <x v="32"/>
    <x v="2"/>
    <x v="4"/>
    <x v="60"/>
    <m/>
    <m/>
    <x v="11"/>
    <m/>
    <m/>
    <m/>
    <m/>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25818E-1451-4FCA-9015-0B815AF6D773}"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O4:BP38" firstHeaderRow="1" firstDataRow="1" firstDataCol="1"/>
  <pivotFields count="21">
    <pivotField dataField="1"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axis="axisRow" showAll="0">
      <items count="10">
        <item x="0"/>
        <item sd="0" x="4"/>
        <item sd="0" m="1" x="7"/>
        <item sd="0" m="1" x="8"/>
        <item sd="0" x="5"/>
        <item sd="0" x="2"/>
        <item sd="0" x="6"/>
        <item x="1"/>
        <item x="3"/>
        <item t="default"/>
      </items>
    </pivotField>
    <pivotField axis="axisRow" showAll="0">
      <items count="36">
        <item x="6"/>
        <item x="29"/>
        <item x="11"/>
        <item m="1" x="34"/>
        <item x="28"/>
        <item x="16"/>
        <item x="21"/>
        <item x="19"/>
        <item x="14"/>
        <item x="23"/>
        <item x="8"/>
        <item x="25"/>
        <item x="26"/>
        <item x="22"/>
        <item x="1"/>
        <item x="4"/>
        <item x="12"/>
        <item x="9"/>
        <item x="20"/>
        <item x="2"/>
        <item x="13"/>
        <item x="15"/>
        <item x="18"/>
        <item x="17"/>
        <item x="24"/>
        <item x="10"/>
        <item m="1" x="33"/>
        <item x="31"/>
        <item x="30"/>
        <item x="0"/>
        <item x="5"/>
        <item x="27"/>
        <item x="32"/>
        <item x="3"/>
        <item x="7"/>
        <item t="default"/>
      </items>
    </pivotField>
    <pivotField showAll="0">
      <items count="5">
        <item m="1" x="3"/>
        <item x="1"/>
        <item x="0"/>
        <item x="2"/>
        <item t="default"/>
      </items>
    </pivotField>
    <pivotField showAll="0"/>
    <pivotField showAll="0"/>
    <pivotField showAll="0"/>
    <pivotField showAll="0"/>
    <pivotField showAll="0"/>
    <pivotField showAll="0"/>
    <pivotField showAll="0"/>
    <pivotField showAll="0"/>
    <pivotField showAll="0"/>
    <pivotField showAll="0">
      <items count="7">
        <item x="1"/>
        <item x="2"/>
        <item x="3"/>
        <item x="4"/>
        <item x="0"/>
        <item x="5"/>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6"/>
    <field x="7"/>
  </rowFields>
  <rowItems count="34">
    <i>
      <x/>
    </i>
    <i r="1">
      <x v="14"/>
    </i>
    <i r="1">
      <x v="19"/>
    </i>
    <i r="1">
      <x v="25"/>
    </i>
    <i r="1">
      <x v="29"/>
    </i>
    <i r="1">
      <x v="33"/>
    </i>
    <i>
      <x v="1"/>
    </i>
    <i>
      <x v="4"/>
    </i>
    <i>
      <x v="5"/>
    </i>
    <i>
      <x v="6"/>
    </i>
    <i>
      <x v="7"/>
    </i>
    <i r="1">
      <x v="4"/>
    </i>
    <i r="1">
      <x v="6"/>
    </i>
    <i r="1">
      <x v="7"/>
    </i>
    <i r="1">
      <x v="9"/>
    </i>
    <i r="1">
      <x v="11"/>
    </i>
    <i r="1">
      <x v="12"/>
    </i>
    <i r="1">
      <x v="13"/>
    </i>
    <i r="1">
      <x v="15"/>
    </i>
    <i r="1">
      <x v="18"/>
    </i>
    <i r="1">
      <x v="21"/>
    </i>
    <i r="1">
      <x v="22"/>
    </i>
    <i r="1">
      <x v="23"/>
    </i>
    <i r="1">
      <x v="24"/>
    </i>
    <i r="1">
      <x v="28"/>
    </i>
    <i r="1">
      <x v="31"/>
    </i>
    <i>
      <x v="8"/>
    </i>
    <i r="1">
      <x/>
    </i>
    <i r="1">
      <x v="1"/>
    </i>
    <i r="1">
      <x v="8"/>
    </i>
    <i r="1">
      <x v="10"/>
    </i>
    <i r="1">
      <x v="16"/>
    </i>
    <i r="1">
      <x v="20"/>
    </i>
    <i t="grand">
      <x/>
    </i>
  </rowItems>
  <colItems count="1">
    <i/>
  </colItems>
  <dataFields count="1">
    <dataField name="Count of Dat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ECABE7-65C3-47A1-BAEA-751DCE3E25E9}"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C12" firstHeaderRow="0" firstDataRow="1" firstDataCol="1"/>
  <pivotFields count="21">
    <pivotField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axis="axisRow" showAll="0">
      <items count="10">
        <item x="0"/>
        <item x="4"/>
        <item m="1" x="7"/>
        <item m="1" x="8"/>
        <item x="5"/>
        <item x="2"/>
        <item x="6"/>
        <item x="1"/>
        <item x="3"/>
        <item t="default"/>
      </items>
    </pivotField>
    <pivotField showAll="0"/>
    <pivotField showAll="0">
      <items count="5">
        <item m="1" x="3"/>
        <item x="1"/>
        <item x="0"/>
        <item x="2"/>
        <item t="default"/>
      </items>
    </pivotField>
    <pivotField showAll="0"/>
    <pivotField showAll="0"/>
    <pivotField showAll="0"/>
    <pivotField showAll="0"/>
    <pivotField showAll="0"/>
    <pivotField dataField="1" showAll="0"/>
    <pivotField showAll="0"/>
    <pivotField dataField="1" showAll="0"/>
    <pivotField showAll="0"/>
    <pivotField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8">
    <i>
      <x/>
    </i>
    <i>
      <x v="1"/>
    </i>
    <i>
      <x v="4"/>
    </i>
    <i>
      <x v="5"/>
    </i>
    <i>
      <x v="6"/>
    </i>
    <i>
      <x v="7"/>
    </i>
    <i>
      <x v="8"/>
    </i>
    <i t="grand">
      <x/>
    </i>
  </rowItems>
  <colFields count="1">
    <field x="-2"/>
  </colFields>
  <colItems count="2">
    <i>
      <x/>
    </i>
    <i i="1">
      <x v="1"/>
    </i>
  </colItems>
  <dataFields count="2">
    <dataField name="Sum of Total Sales" fld="14" baseField="0" baseItem="0"/>
    <dataField name="Sum of Profit" fld="16" baseField="0" baseItem="0"/>
  </dataFields>
  <formats count="1">
    <format dxfId="0">
      <pivotArea outline="0" collapsedLevelsAreSubtotals="1" fieldPosition="0"/>
    </format>
  </formats>
  <chartFormats count="9">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6" format="6">
      <pivotArea type="data" outline="0" fieldPosition="0">
        <references count="2">
          <reference field="4294967294" count="1" selected="0">
            <x v="1"/>
          </reference>
          <reference field="6" count="1" selected="0">
            <x v="5"/>
          </reference>
        </references>
      </pivotArea>
    </chartFormat>
    <chartFormat chart="6" format="7">
      <pivotArea type="data" outline="0" fieldPosition="0">
        <references count="2">
          <reference field="4294967294" count="1" selected="0">
            <x v="1"/>
          </reference>
          <reference field="6" count="1" selected="0">
            <x v="4"/>
          </reference>
        </references>
      </pivotArea>
    </chartFormat>
    <chartFormat chart="6" format="8">
      <pivotArea type="data" outline="0" fieldPosition="0">
        <references count="2">
          <reference field="4294967294" count="1" selected="0">
            <x v="1"/>
          </reference>
          <reference field="6" count="1" selected="0">
            <x v="1"/>
          </reference>
        </references>
      </pivotArea>
    </chartFormat>
    <chartFormat chart="6" format="9">
      <pivotArea type="data" outline="0" fieldPosition="0">
        <references count="2">
          <reference field="4294967294" count="1" selected="0">
            <x v="0"/>
          </reference>
          <reference field="6" count="1" selected="0">
            <x v="1"/>
          </reference>
        </references>
      </pivotArea>
    </chartFormat>
    <chartFormat chart="6" format="10">
      <pivotArea type="data" outline="0" fieldPosition="0">
        <references count="2">
          <reference field="4294967294" count="1" selected="0">
            <x v="1"/>
          </reference>
          <reference field="6" count="1" selected="0">
            <x v="0"/>
          </reference>
        </references>
      </pivotArea>
    </chartFormat>
    <chartFormat chart="6" format="11">
      <pivotArea type="data" outline="0" fieldPosition="0">
        <references count="2">
          <reference field="4294967294" count="1" selected="0">
            <x v="1"/>
          </reference>
          <reference field="6" count="1" selected="0">
            <x v="7"/>
          </reference>
        </references>
      </pivotArea>
    </chartFormat>
    <chartFormat chart="6" format="12">
      <pivotArea type="data" outline="0" fieldPosition="0">
        <references count="2">
          <reference field="4294967294" count="1" selected="0">
            <x v="1"/>
          </reference>
          <reference field="6"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2873C8-9A8B-45D9-B9C4-8CE88768D228}"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D4:AE12" firstHeaderRow="1" firstDataRow="1" firstDataCol="1"/>
  <pivotFields count="21">
    <pivotField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axis="axisRow" showAll="0" sortType="ascending">
      <items count="10">
        <item x="0"/>
        <item x="4"/>
        <item m="1" x="7"/>
        <item x="1"/>
        <item m="1" x="8"/>
        <item x="3"/>
        <item x="5"/>
        <item x="2"/>
        <item x="6"/>
        <item t="default"/>
      </items>
    </pivotField>
    <pivotField showAll="0"/>
    <pivotField showAll="0">
      <items count="5">
        <item m="1" x="3"/>
        <item x="1"/>
        <item x="0"/>
        <item x="2"/>
        <item t="default"/>
      </items>
    </pivotField>
    <pivotField showAll="0"/>
    <pivotField showAll="0"/>
    <pivotField dataField="1" showAll="0"/>
    <pivotField showAll="0"/>
    <pivotField showAll="0"/>
    <pivotField showAll="0"/>
    <pivotField showAll="0"/>
    <pivotField showAll="0"/>
    <pivotField showAll="0"/>
    <pivotField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8">
    <i>
      <x/>
    </i>
    <i>
      <x v="1"/>
    </i>
    <i>
      <x v="3"/>
    </i>
    <i>
      <x v="5"/>
    </i>
    <i>
      <x v="6"/>
    </i>
    <i>
      <x v="7"/>
    </i>
    <i>
      <x v="8"/>
    </i>
    <i t="grand">
      <x/>
    </i>
  </rowItems>
  <colItems count="1">
    <i/>
  </colItems>
  <dataFields count="1">
    <dataField name="Average of Order_Quantity" fld="11" subtotal="average" baseField="6" baseItem="0" numFmtId="43"/>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7A03DA-CC28-4A6B-947F-8503D7874F4E}"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4:I8" firstHeaderRow="0" firstDataRow="1" firstDataCol="1"/>
  <pivotFields count="21">
    <pivotField dataField="1"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axis="axisRow" showAll="0">
      <items count="5">
        <item m="1" x="3"/>
        <item x="0"/>
        <item x="2"/>
        <item x="1"/>
        <item t="default"/>
      </items>
    </pivotField>
    <pivotField showAll="0"/>
    <pivotField showAll="0"/>
    <pivotField dataField="1" showAll="0"/>
    <pivotField showAll="0"/>
    <pivotField showAll="0"/>
    <pivotField showAll="0"/>
    <pivotField showAll="0"/>
    <pivotField showAll="0"/>
    <pivotField showAll="0"/>
    <pivotField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v="1"/>
    </i>
    <i>
      <x v="2"/>
    </i>
    <i>
      <x v="3"/>
    </i>
    <i t="grand">
      <x/>
    </i>
  </rowItems>
  <colFields count="1">
    <field x="-2"/>
  </colFields>
  <colItems count="2">
    <i>
      <x/>
    </i>
    <i i="1">
      <x v="1"/>
    </i>
  </colItems>
  <dataFields count="2">
    <dataField name="Sum of Order_Quantity" fld="11" baseField="0" baseItem="0"/>
    <dataField name="Count of Date" fld="0"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888B0D-F015-4EB7-9EE2-F03A35964DDF}"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E4:BG16" firstHeaderRow="0" firstDataRow="1" firstDataCol="1"/>
  <pivotFields count="21">
    <pivotField dataField="1"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showAll="0"/>
    <pivotField showAll="0"/>
    <pivotField dataField="1" showAll="0"/>
    <pivotField showAll="0"/>
    <pivotField axis="axisRow" showAll="0" sortType="descending">
      <items count="13">
        <item h="1" x="11"/>
        <item x="3"/>
        <item x="0"/>
        <item x="1"/>
        <item x="10"/>
        <item x="4"/>
        <item x="2"/>
        <item x="8"/>
        <item x="5"/>
        <item x="6"/>
        <item x="7"/>
        <item x="9"/>
        <item t="default"/>
      </items>
    </pivotField>
    <pivotField showAll="0"/>
    <pivotField showAll="0"/>
    <pivotField showAll="0"/>
    <pivotField showAll="0"/>
    <pivotField showAll="0">
      <items count="7">
        <item x="1"/>
        <item x="2"/>
        <item x="3"/>
        <item x="4"/>
        <item x="0"/>
        <item x="5"/>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3"/>
  </rowFields>
  <rowItems count="12">
    <i>
      <x v="1"/>
    </i>
    <i>
      <x v="2"/>
    </i>
    <i>
      <x v="3"/>
    </i>
    <i>
      <x v="4"/>
    </i>
    <i>
      <x v="5"/>
    </i>
    <i>
      <x v="6"/>
    </i>
    <i>
      <x v="7"/>
    </i>
    <i>
      <x v="8"/>
    </i>
    <i>
      <x v="9"/>
    </i>
    <i>
      <x v="10"/>
    </i>
    <i>
      <x v="11"/>
    </i>
    <i t="grand">
      <x/>
    </i>
  </rowItems>
  <colFields count="1">
    <field x="-2"/>
  </colFields>
  <colItems count="2">
    <i>
      <x/>
    </i>
    <i i="1">
      <x v="1"/>
    </i>
  </colItems>
  <dataFields count="2">
    <dataField name="Sum of Order_Quantity" fld="11" baseField="0" baseItem="0"/>
    <dataField name="Count of Dat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DA6033-F4E0-438B-B1EA-B8A003D19806}"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N4:O11" firstHeaderRow="1" firstDataRow="1" firstDataCol="1"/>
  <pivotFields count="21">
    <pivotField dataField="1"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showAll="0"/>
    <pivotField showAll="0"/>
    <pivotField showAll="0"/>
    <pivotField showAll="0"/>
    <pivotField showAll="0"/>
    <pivotField showAll="0"/>
    <pivotField showAll="0"/>
    <pivotField showAll="0"/>
    <pivotField showAll="0"/>
    <pivotField axis="axisRow"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8"/>
  </rowFields>
  <rowItems count="7">
    <i>
      <x/>
    </i>
    <i>
      <x v="1"/>
    </i>
    <i>
      <x v="2"/>
    </i>
    <i>
      <x v="3"/>
    </i>
    <i>
      <x v="4"/>
    </i>
    <i>
      <x v="5"/>
    </i>
    <i t="grand">
      <x/>
    </i>
  </rowItems>
  <colItems count="1">
    <i/>
  </colItems>
  <dataFields count="1">
    <dataField name="Count of Date" fld="0"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384BAA5-8EF3-4296-A83F-0890DAF2D7A0}"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I4:AJ9" firstHeaderRow="1" firstDataRow="1" firstDataCol="1"/>
  <pivotFields count="21">
    <pivotField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axis="axisRow" showAll="0">
      <items count="6">
        <item x="0"/>
        <item x="1"/>
        <item x="2"/>
        <item x="3"/>
        <item h="1" x="4"/>
        <item t="default"/>
      </items>
    </pivotField>
    <pivotField showAll="0"/>
    <pivotField dataField="1" showAll="0"/>
    <pivotField showAll="0"/>
    <pivotField showAll="0"/>
    <pivotField showAll="0"/>
    <pivotField showAll="0"/>
    <pivotField showAll="0"/>
    <pivotField showAll="0"/>
    <pivotField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5">
    <i>
      <x/>
    </i>
    <i>
      <x v="1"/>
    </i>
    <i>
      <x v="2"/>
    </i>
    <i>
      <x v="3"/>
    </i>
    <i t="grand">
      <x/>
    </i>
  </rowItems>
  <colItems count="1">
    <i/>
  </colItems>
  <dataFields count="1">
    <dataField name="Sum of Order_Quantity" fld="11" baseField="0" baseItem="0"/>
  </dataField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9" count="1" selected="0">
            <x v="0"/>
          </reference>
        </references>
      </pivotArea>
    </chartFormat>
    <chartFormat chart="4" format="8">
      <pivotArea type="data" outline="0" fieldPosition="0">
        <references count="2">
          <reference field="4294967294" count="1" selected="0">
            <x v="0"/>
          </reference>
          <reference field="9" count="1" selected="0">
            <x v="1"/>
          </reference>
        </references>
      </pivotArea>
    </chartFormat>
    <chartFormat chart="4" format="9">
      <pivotArea type="data" outline="0" fieldPosition="0">
        <references count="2">
          <reference field="4294967294" count="1" selected="0">
            <x v="0"/>
          </reference>
          <reference field="9" count="1" selected="0">
            <x v="2"/>
          </reference>
        </references>
      </pivotArea>
    </chartFormat>
    <chartFormat chart="4" format="10">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08A214-8779-443B-9A35-ADB84D6DF44F}"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O4:AP8" firstHeaderRow="1" firstDataRow="1" firstDataCol="1"/>
  <pivotFields count="21">
    <pivotField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axis="axisRow" showAll="0">
      <items count="5">
        <item x="2"/>
        <item x="0"/>
        <item x="1"/>
        <item h="1" x="3"/>
        <item t="default"/>
      </items>
    </pivotField>
    <pivotField showAll="0"/>
    <pivotField showAll="0"/>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showAll="0"/>
    <pivotField showAll="0"/>
    <pivotField dataField="1" showAll="0"/>
    <pivotField showAll="0"/>
    <pivotField showAll="0"/>
    <pivotField showAll="0"/>
    <pivotField showAll="0"/>
    <pivotField showAll="0"/>
    <pivotField showAll="0"/>
    <pivotField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4">
    <i>
      <x/>
    </i>
    <i>
      <x v="1"/>
    </i>
    <i>
      <x v="2"/>
    </i>
    <i t="grand">
      <x/>
    </i>
  </rowItems>
  <colItems count="1">
    <i/>
  </colItems>
  <dataFields count="1">
    <dataField name="Sum of Order_Quantity" fld="11" baseField="0" baseItem="0"/>
  </dataFields>
  <chartFormats count="3">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CCDA43-4C40-4619-BCF2-64F1F2FED187}"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H13:I18" firstHeaderRow="1" firstDataRow="1" firstDataCol="1"/>
  <pivotFields count="21">
    <pivotField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showAll="0"/>
    <pivotField axis="axisRow" showAll="0" measureFilter="1">
      <items count="62">
        <item x="53"/>
        <item x="55"/>
        <item x="57"/>
        <item x="54"/>
        <item x="25"/>
        <item x="41"/>
        <item x="15"/>
        <item x="20"/>
        <item x="40"/>
        <item x="3"/>
        <item x="49"/>
        <item x="51"/>
        <item x="13"/>
        <item x="31"/>
        <item x="12"/>
        <item x="56"/>
        <item x="19"/>
        <item x="46"/>
        <item x="45"/>
        <item x="58"/>
        <item x="18"/>
        <item x="21"/>
        <item x="43"/>
        <item x="16"/>
        <item x="30"/>
        <item x="4"/>
        <item x="5"/>
        <item x="28"/>
        <item x="24"/>
        <item x="10"/>
        <item x="14"/>
        <item x="27"/>
        <item x="32"/>
        <item x="34"/>
        <item x="8"/>
        <item x="37"/>
        <item x="29"/>
        <item x="38"/>
        <item x="23"/>
        <item x="36"/>
        <item x="11"/>
        <item x="17"/>
        <item x="35"/>
        <item x="33"/>
        <item x="26"/>
        <item x="50"/>
        <item x="48"/>
        <item x="44"/>
        <item x="39"/>
        <item x="9"/>
        <item x="42"/>
        <item x="1"/>
        <item x="47"/>
        <item x="2"/>
        <item x="59"/>
        <item x="52"/>
        <item x="22"/>
        <item x="0"/>
        <item x="6"/>
        <item x="7"/>
        <item x="60"/>
        <item t="default"/>
      </items>
    </pivotField>
    <pivotField showAll="0"/>
    <pivotField showAll="0"/>
    <pivotField showAll="0"/>
    <pivotField dataField="1" showAll="0"/>
    <pivotField showAll="0"/>
    <pivotField showAll="0"/>
    <pivotField showAll="0"/>
    <pivotField showAll="0">
      <items count="7">
        <item x="1"/>
        <item x="2"/>
        <item x="3"/>
        <item x="4"/>
        <item x="0"/>
        <item x="5"/>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0"/>
  </rowFields>
  <rowItems count="5">
    <i>
      <x v="4"/>
    </i>
    <i>
      <x v="7"/>
    </i>
    <i>
      <x v="23"/>
    </i>
    <i>
      <x v="29"/>
    </i>
    <i>
      <x v="57"/>
    </i>
  </rowItems>
  <colItems count="1">
    <i/>
  </colItems>
  <dataFields count="1">
    <dataField name="Sum of Total Sales" fld="14" baseField="0" baseItem="0"/>
  </dataFields>
  <chartFormats count="4">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E490DDC-BFB7-4ACF-AFFD-64D8F66DEE4E}"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U4:X8" firstHeaderRow="0" firstDataRow="1" firstDataCol="1"/>
  <pivotFields count="21">
    <pivotField dataField="1"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showAll="0"/>
    <pivotField showAll="0"/>
    <pivotField axis="axisRow"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showAll="0"/>
    <pivotField showAll="0"/>
    <pivotField dataField="1" showAll="0"/>
    <pivotField showAll="0"/>
    <pivotField showAll="0"/>
    <pivotField showAll="0"/>
    <pivotField showAll="0"/>
    <pivotField showAll="0"/>
    <pivotField showAll="0"/>
    <pivotField showAll="0">
      <items count="7">
        <item x="1"/>
        <item x="2"/>
        <item x="3"/>
        <item x="4"/>
        <item x="0"/>
        <item x="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4">
    <i>
      <x/>
    </i>
    <i>
      <x v="1"/>
    </i>
    <i>
      <x v="2"/>
    </i>
    <i t="grand">
      <x/>
    </i>
  </rowItems>
  <colFields count="1">
    <field x="-2"/>
  </colFields>
  <colItems count="3">
    <i>
      <x/>
    </i>
    <i i="1">
      <x v="1"/>
    </i>
    <i i="2">
      <x v="2"/>
    </i>
  </colItems>
  <dataFields count="3">
    <dataField name="Count of Date" fld="0" subtotal="count" baseField="0" baseItem="0"/>
    <dataField name="Sum of Order_Quantity" fld="11" baseField="0" baseItem="0"/>
    <dataField name="Average of Order_Quantity2" fld="11"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7C806D4-1E74-4E2F-8F5E-478833A15A6E}"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X4:AY12" firstHeaderRow="1" firstDataRow="1" firstDataCol="1"/>
  <pivotFields count="21">
    <pivotField dataField="1" showAll="0">
      <items count="94">
        <item x="72"/>
        <item x="80"/>
        <item x="84"/>
        <item x="34"/>
        <item x="85"/>
        <item x="52"/>
        <item x="89"/>
        <item x="35"/>
        <item x="73"/>
        <item x="90"/>
        <item x="65"/>
        <item x="66"/>
        <item x="10"/>
        <item x="81"/>
        <item x="53"/>
        <item x="82"/>
        <item x="67"/>
        <item x="74"/>
        <item x="68"/>
        <item x="69"/>
        <item x="43"/>
        <item x="60"/>
        <item x="75"/>
        <item x="20"/>
        <item x="44"/>
        <item x="45"/>
        <item x="86"/>
        <item x="36"/>
        <item x="76"/>
        <item x="46"/>
        <item x="37"/>
        <item x="0"/>
        <item x="1"/>
        <item x="11"/>
        <item x="91"/>
        <item x="54"/>
        <item x="21"/>
        <item x="12"/>
        <item x="2"/>
        <item x="61"/>
        <item x="30"/>
        <item x="3"/>
        <item x="39"/>
        <item x="55"/>
        <item x="22"/>
        <item x="23"/>
        <item x="31"/>
        <item x="38"/>
        <item x="4"/>
        <item x="87"/>
        <item x="13"/>
        <item x="62"/>
        <item x="14"/>
        <item x="5"/>
        <item x="40"/>
        <item x="24"/>
        <item x="6"/>
        <item x="56"/>
        <item x="32"/>
        <item x="7"/>
        <item x="8"/>
        <item x="33"/>
        <item x="83"/>
        <item x="57"/>
        <item x="41"/>
        <item x="77"/>
        <item x="47"/>
        <item x="25"/>
        <item x="26"/>
        <item x="70"/>
        <item x="48"/>
        <item x="15"/>
        <item x="16"/>
        <item x="78"/>
        <item x="88"/>
        <item x="49"/>
        <item x="17"/>
        <item x="18"/>
        <item x="58"/>
        <item x="9"/>
        <item x="79"/>
        <item x="50"/>
        <item x="19"/>
        <item x="27"/>
        <item x="28"/>
        <item x="63"/>
        <item x="59"/>
        <item x="71"/>
        <item x="29"/>
        <item x="42"/>
        <item x="51"/>
        <item x="64"/>
        <item x="92"/>
        <item t="default"/>
      </items>
    </pivotField>
    <pivotField showAll="0"/>
    <pivotField showAll="0"/>
    <pivotField axis="axisRow" showAll="0">
      <items count="9">
        <item x="4"/>
        <item x="0"/>
        <item x="1"/>
        <item x="5"/>
        <item x="2"/>
        <item x="3"/>
        <item x="6"/>
        <item h="1" x="7"/>
        <item t="default"/>
      </items>
    </pivotField>
    <pivotField showAll="0"/>
    <pivotField showAll="0">
      <items count="4">
        <item x="1"/>
        <item x="0"/>
        <item x="2"/>
        <item t="default"/>
      </items>
    </pivotField>
    <pivotField showAll="0">
      <items count="10">
        <item x="0"/>
        <item x="4"/>
        <item m="1" x="7"/>
        <item x="1"/>
        <item m="1" x="8"/>
        <item x="3"/>
        <item x="5"/>
        <item x="2"/>
        <item x="6"/>
        <item t="default"/>
      </items>
    </pivotField>
    <pivotField showAll="0"/>
    <pivotField showAll="0">
      <items count="5">
        <item m="1" x="3"/>
        <item x="1"/>
        <item x="0"/>
        <item x="2"/>
        <item t="default"/>
      </items>
    </pivotField>
    <pivotField showAll="0"/>
    <pivotField showAll="0"/>
    <pivotField showAll="0"/>
    <pivotField showAll="0"/>
    <pivotField showAll="0"/>
    <pivotField showAll="0"/>
    <pivotField showAll="0"/>
    <pivotField showAll="0"/>
    <pivotField showAll="0"/>
    <pivotField showAll="0">
      <items count="7">
        <item x="1"/>
        <item x="2"/>
        <item x="3"/>
        <item x="4"/>
        <item x="0"/>
        <item x="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8">
    <i>
      <x/>
    </i>
    <i>
      <x v="1"/>
    </i>
    <i>
      <x v="2"/>
    </i>
    <i>
      <x v="3"/>
    </i>
    <i>
      <x v="4"/>
    </i>
    <i>
      <x v="5"/>
    </i>
    <i>
      <x v="6"/>
    </i>
    <i t="grand">
      <x/>
    </i>
  </rowItems>
  <colItems count="1">
    <i/>
  </colItems>
  <dataFields count="1">
    <dataField name="Count of Dat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10F0EAF8-1D5A-41D3-94E1-32A350BF3413}" sourceName="Sub_Category">
  <pivotTables>
    <pivotTable tabId="6" name="PivotTable15"/>
    <pivotTable tabId="6" name="PivotTable1"/>
    <pivotTable tabId="6" name="PivotTable13"/>
    <pivotTable tabId="6" name="PivotTable14"/>
    <pivotTable tabId="6" name="PivotTable16"/>
    <pivotTable tabId="6" name="PivotTable17"/>
    <pivotTable tabId="6" name="PivotTable18"/>
    <pivotTable tabId="6" name="PivotTable19"/>
    <pivotTable tabId="6" name="PivotTable20"/>
    <pivotTable tabId="6" name="PivotTable21"/>
    <pivotTable tabId="6" name="PivotTable22"/>
  </pivotTables>
  <data>
    <tabular pivotCacheId="1294011983">
      <items count="4">
        <i x="1" s="1"/>
        <i x="0" s="1"/>
        <i x="3" s="1"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764FAF8-FA39-452A-AD2E-C5A7AE820841}" sourceName="Country">
  <pivotTables>
    <pivotTable tabId="6" name="PivotTable16"/>
    <pivotTable tabId="6" name="PivotTable1"/>
    <pivotTable tabId="6" name="PivotTable13"/>
    <pivotTable tabId="6" name="PivotTable14"/>
    <pivotTable tabId="6" name="PivotTable15"/>
    <pivotTable tabId="6" name="PivotTable17"/>
    <pivotTable tabId="6" name="PivotTable18"/>
    <pivotTable tabId="6" name="PivotTable19"/>
    <pivotTable tabId="6" name="PivotTable20"/>
    <pivotTable tabId="6" name="PivotTable21"/>
    <pivotTable tabId="6" name="PivotTable22"/>
  </pivotTables>
  <data>
    <tabular pivotCacheId="1294011983">
      <items count="9">
        <i x="0" s="1"/>
        <i x="4" s="1"/>
        <i x="1" s="1"/>
        <i x="3" s="1"/>
        <i x="5" s="1"/>
        <i x="2" s="1"/>
        <i x="7" s="1" nd="1"/>
        <i x="8" s="1" nd="1"/>
        <i x="6"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aleer_Gender" xr10:uid="{3A63C0A6-01A0-477C-9AFB-192A9B4C43F1}" sourceName="Customaleer_Gender">
  <pivotTables>
    <pivotTable tabId="6" name="PivotTable15"/>
    <pivotTable tabId="6" name="PivotTable1"/>
    <pivotTable tabId="6" name="PivotTable13"/>
    <pivotTable tabId="6" name="PivotTable14"/>
    <pivotTable tabId="6" name="PivotTable16"/>
    <pivotTable tabId="6" name="PivotTable17"/>
    <pivotTable tabId="6" name="PivotTable18"/>
    <pivotTable tabId="6" name="PivotTable19"/>
    <pivotTable tabId="6" name="PivotTable20"/>
    <pivotTable tabId="6" name="PivotTable21"/>
    <pivotTable tabId="6" name="PivotTable22"/>
  </pivotTables>
  <data>
    <tabular pivotCacheId="1294011983">
      <items count="3">
        <i x="1" s="1"/>
        <i x="0" s="1"/>
        <i x="2"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3161C97B-BBA6-4CE4-B264-CF5BE2AA67BA}" sourceName="Age Group">
  <pivotTables>
    <pivotTable tabId="6" name="PivotTable15"/>
    <pivotTable tabId="6" name="PivotTable1"/>
    <pivotTable tabId="6" name="PivotTable13"/>
    <pivotTable tabId="6" name="PivotTable14"/>
    <pivotTable tabId="6" name="PivotTable16"/>
    <pivotTable tabId="6" name="PivotTable17"/>
    <pivotTable tabId="6" name="PivotTable18"/>
    <pivotTable tabId="6" name="PivotTable19"/>
    <pivotTable tabId="6" name="PivotTable20"/>
    <pivotTable tabId="6" name="PivotTable21"/>
    <pivotTable tabId="6" name="PivotTable22"/>
  </pivotTables>
  <data>
    <tabular pivotCacheId="1294011983">
      <items count="6">
        <i x="1" s="1"/>
        <i x="2" s="1"/>
        <i x="3" s="1"/>
        <i x="4" s="1"/>
        <i x="0"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_Category" xr10:uid="{E55FEEBF-ACBC-4FB1-807F-23D487DA8893}" cache="Slicer_Sub_Category" caption="Sub_Category" style="SlicerStyleLight2" rowHeight="251883"/>
  <slicer name="Country" xr10:uid="{F67615C4-90CF-42CD-9D10-63762D2AB91C}" cache="Slicer_Country" caption="Country" style="SlicerStyleLight2" rowHeight="251883"/>
  <slicer name="Customaleer_Gender" xr10:uid="{4983661D-A473-4686-B1D9-D7F530DB4197}" cache="Slicer_Customaleer_Gender" caption="Customaleer_Gender" style="SlicerStyleLight2" rowHeight="251883"/>
  <slicer name="Age Group" xr10:uid="{C0771B05-7AB7-453F-8310-0C79D5F1541B}" cache="Slicer_Age_Group" caption="Age Group" style="SlicerStyleLight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2FF2A5-35C1-42D4-8044-0D51E8504B58}" name="Table3" displayName="Table3" ref="C4:D15" totalsRowShown="0" headerRowDxfId="29" dataDxfId="27" headerRowBorderDxfId="28" tableBorderDxfId="26" totalsRowBorderDxfId="25">
  <autoFilter ref="C4:D15" xr:uid="{282FF2A5-35C1-42D4-8044-0D51E8504B58}">
    <filterColumn colId="0" hiddenButton="1"/>
    <filterColumn colId="1" hiddenButton="1"/>
  </autoFilter>
  <tableColumns count="2">
    <tableColumn id="1" xr3:uid="{E602DE90-804D-4988-ADCF-E53E326DA013}" name="اسم العمود" dataDxfId="24"/>
    <tableColumn id="2" xr3:uid="{D5AE04BB-44C3-42FB-A2CD-44D1138DD330}" name="وظيفة العمود"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706155-BB47-48D9-A116-0ADF814EEA5B}" name="Bike_Sales" displayName="Bike_Sales" ref="A1:S753" headerRowDxfId="22" dataDxfId="21">
  <autoFilter ref="A1:S753" xr:uid="{EA706155-BB47-48D9-A116-0ADF814EEA5B}"/>
  <tableColumns count="19">
    <tableColumn id="1" xr3:uid="{288A9CC7-1C47-4C7C-A41A-9038ACAD0706}" name="Date" totalsRowLabel="Total" dataDxfId="20"/>
    <tableColumn id="17" xr3:uid="{AA8BCF75-C95A-40A8-91D5-A645EA726A5E}" name="Month " dataDxfId="19">
      <calculatedColumnFormula>TEXT(Bike_Sales[[#This Row],[Date]],"mmmm")</calculatedColumnFormula>
    </tableColumn>
    <tableColumn id="18" xr3:uid="{4B1D9FC3-8F3A-4ADF-BDCA-2953900409B6}" name="Month Num" dataDxfId="18">
      <calculatedColumnFormula>MONTH(Bike_Sales[[#This Row],[Date]])</calculatedColumnFormula>
    </tableColumn>
    <tableColumn id="2" xr3:uid="{3E878291-374C-4F49-98A0-73811933E4E0}" name="Day" dataDxfId="17">
      <calculatedColumnFormula>TEXT(Bike_Sales[[#This Row],[Date]],"dddd")</calculatedColumnFormula>
    </tableColumn>
    <tableColumn id="5" xr3:uid="{BB90EBD8-E021-48AE-83E2-EA222D6D3FDF}" name="Customaleer_Age" dataDxfId="16"/>
    <tableColumn id="7" xr3:uid="{1926992E-C6E6-4A2F-B07F-98EAA3AAEB40}" name="Customaleer_Gender" dataDxfId="15"/>
    <tableColumn id="8" xr3:uid="{C5565C6A-7962-4575-833D-0837F631D15A}" name="Country" dataDxfId="14"/>
    <tableColumn id="9" xr3:uid="{A194A4D3-F49A-4269-992E-D1B0170BA454}" name="State" dataDxfId="13"/>
    <tableColumn id="11" xr3:uid="{45453086-977E-426B-A2F5-4E944152E58D}" name="Sub_Category" dataDxfId="12"/>
    <tableColumn id="19" xr3:uid="{353E046A-DA5E-47DF-84E7-9410FE4B9F5A}" name="Bike_Color" dataDxfId="11"/>
    <tableColumn id="12" xr3:uid="{CC5AA64D-BF82-4B48-84C0-5C3AACD56C87}" name="Product" dataDxfId="10"/>
    <tableColumn id="13" xr3:uid="{CFC1BC58-D2FB-4732-A211-FF2309CCC186}" name="Order_Quantity" dataDxfId="9"/>
    <tableColumn id="14" xr3:uid="{A2C14D37-BE0B-4C9F-AC73-3159E2FE099C}" name="Unit_Cost" totalsRowFunction="average" dataDxfId="8"/>
    <tableColumn id="15" xr3:uid="{41DD21DF-66D0-4BFE-9B45-4C99752E98E9}" name="Unit_Price" totalsRowFunction="sum" dataDxfId="7"/>
    <tableColumn id="3" xr3:uid="{C125AEF6-18C2-408B-B325-0C544D1E73A3}" name="Total Sales" dataDxfId="6">
      <calculatedColumnFormula>Bike_Sales[[#This Row],[Order_Quantity]]*Bike_Sales[[#This Row],[Unit_Price]]</calculatedColumnFormula>
    </tableColumn>
    <tableColumn id="4" xr3:uid="{060D4B60-44FB-493F-AAED-B88E33AD3E32}" name="Total Cost" dataDxfId="5">
      <calculatedColumnFormula>Bike_Sales[[#This Row],[Order_Quantity]]*Bike_Sales[[#This Row],[Unit_Cost]]</calculatedColumnFormula>
    </tableColumn>
    <tableColumn id="6" xr3:uid="{4D23BAAA-83E3-4FE1-BF0C-BC16067A8FF5}" name="Profit" dataDxfId="4">
      <calculatedColumnFormula>Bike_Sales[[#This Row],[Total Sales]]-Bike_Sales[[#This Row],[Total Cost]]</calculatedColumnFormula>
    </tableColumn>
    <tableColumn id="10" xr3:uid="{E773B2B6-9CF2-4C6F-A62C-9B665063FF31}" name="Profit Margin" dataDxfId="3">
      <calculatedColumnFormula>Bike_Sales[[#This Row],[Profit]]/Bike_Sales[[#This Row],[Total Sales]]</calculatedColumnFormula>
    </tableColumn>
    <tableColumn id="16" xr3:uid="{FC98FCF4-9BFF-4908-B9FC-CACFF6156865}" name="Age Group" dataDxfId="2">
      <calculatedColumnFormula>IF(E2&lt;25,"Under 25",IF(E2&lt;35,"25-34",IF(E2&lt;45,"35-44",IF(E2&lt;55,"45-54","55+"))))</calculatedColumnFormula>
    </tableColumn>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doniakhaled1756@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8BA80-FA70-402B-9E18-E771E885FBC4}">
  <dimension ref="C6:I9"/>
  <sheetViews>
    <sheetView workbookViewId="0">
      <selection activeCell="K14" sqref="K14"/>
    </sheetView>
  </sheetViews>
  <sheetFormatPr defaultColWidth="13.54296875" defaultRowHeight="20.399999999999999" customHeight="1" x14ac:dyDescent="0.35"/>
  <cols>
    <col min="3" max="3" width="18.36328125" customWidth="1"/>
    <col min="4" max="4" width="0.6328125" customWidth="1"/>
  </cols>
  <sheetData>
    <row r="6" spans="3:9" ht="16.75" customHeight="1" x14ac:dyDescent="0.35"/>
    <row r="7" spans="3:9" ht="25.25" customHeight="1" x14ac:dyDescent="0.35">
      <c r="C7" s="7" t="s">
        <v>105</v>
      </c>
      <c r="D7" s="8"/>
      <c r="E7" s="34" t="s">
        <v>122</v>
      </c>
      <c r="F7" s="35"/>
      <c r="G7" s="35"/>
      <c r="H7" s="35"/>
      <c r="I7" s="36"/>
    </row>
    <row r="8" spans="3:9" ht="25.25" customHeight="1" x14ac:dyDescent="0.35">
      <c r="C8" s="7" t="s">
        <v>106</v>
      </c>
      <c r="D8" s="8"/>
      <c r="E8" s="37">
        <v>1508302851</v>
      </c>
      <c r="F8" s="37"/>
      <c r="G8" s="37"/>
      <c r="H8" s="37"/>
      <c r="I8" s="37"/>
    </row>
    <row r="9" spans="3:9" ht="25.25" customHeight="1" x14ac:dyDescent="0.35">
      <c r="C9" s="7" t="s">
        <v>107</v>
      </c>
      <c r="D9" s="8"/>
      <c r="E9" s="38" t="s">
        <v>123</v>
      </c>
      <c r="F9" s="37"/>
      <c r="G9" s="37"/>
      <c r="H9" s="37"/>
      <c r="I9" s="37"/>
    </row>
  </sheetData>
  <mergeCells count="3">
    <mergeCell ref="E7:I7"/>
    <mergeCell ref="E8:I8"/>
    <mergeCell ref="E9:I9"/>
  </mergeCells>
  <hyperlinks>
    <hyperlink ref="E9" r:id="rId1" xr:uid="{A1A9552C-A963-4284-B229-78E47199AE2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1BADE-F978-42D2-B3DE-51D20500E542}">
  <dimension ref="C4:D15"/>
  <sheetViews>
    <sheetView workbookViewId="0">
      <selection activeCell="B20" sqref="B20"/>
    </sheetView>
  </sheetViews>
  <sheetFormatPr defaultColWidth="20.81640625" defaultRowHeight="18.649999999999999" customHeight="1" x14ac:dyDescent="0.35"/>
  <cols>
    <col min="2" max="2" width="11.08984375" customWidth="1"/>
    <col min="3" max="3" width="33.6328125" customWidth="1"/>
    <col min="4" max="4" width="66.1796875" customWidth="1"/>
  </cols>
  <sheetData>
    <row r="4" spans="3:4" ht="28.25" customHeight="1" x14ac:dyDescent="0.35">
      <c r="C4" s="9" t="s">
        <v>108</v>
      </c>
      <c r="D4" s="10" t="s">
        <v>109</v>
      </c>
    </row>
    <row r="5" spans="3:4" ht="18.649999999999999" customHeight="1" x14ac:dyDescent="0.35">
      <c r="C5" s="11" t="s">
        <v>0</v>
      </c>
      <c r="D5" s="12" t="s">
        <v>110</v>
      </c>
    </row>
    <row r="6" spans="3:4" ht="18.649999999999999" customHeight="1" x14ac:dyDescent="0.35">
      <c r="C6" s="11" t="s">
        <v>1</v>
      </c>
      <c r="D6" s="12" t="s">
        <v>111</v>
      </c>
    </row>
    <row r="7" spans="3:4" ht="18.649999999999999" customHeight="1" x14ac:dyDescent="0.35">
      <c r="C7" s="11" t="s">
        <v>112</v>
      </c>
      <c r="D7" s="12" t="s">
        <v>113</v>
      </c>
    </row>
    <row r="8" spans="3:4" ht="18.649999999999999" customHeight="1" x14ac:dyDescent="0.35">
      <c r="C8" s="11" t="s">
        <v>2</v>
      </c>
      <c r="D8" s="12" t="s">
        <v>114</v>
      </c>
    </row>
    <row r="9" spans="3:4" ht="18.649999999999999" customHeight="1" x14ac:dyDescent="0.35">
      <c r="C9" s="11" t="s">
        <v>3</v>
      </c>
      <c r="D9" s="12" t="s">
        <v>115</v>
      </c>
    </row>
    <row r="10" spans="3:4" ht="18.649999999999999" customHeight="1" x14ac:dyDescent="0.35">
      <c r="C10" s="11" t="s">
        <v>4</v>
      </c>
      <c r="D10" s="12" t="s">
        <v>116</v>
      </c>
    </row>
    <row r="11" spans="3:4" ht="18.649999999999999" customHeight="1" x14ac:dyDescent="0.35">
      <c r="C11" s="11" t="s">
        <v>100</v>
      </c>
      <c r="D11" s="12" t="s">
        <v>117</v>
      </c>
    </row>
    <row r="12" spans="3:4" ht="18.649999999999999" customHeight="1" x14ac:dyDescent="0.35">
      <c r="C12" s="11" t="s">
        <v>5</v>
      </c>
      <c r="D12" s="12" t="s">
        <v>118</v>
      </c>
    </row>
    <row r="13" spans="3:4" ht="18.649999999999999" customHeight="1" x14ac:dyDescent="0.35">
      <c r="C13" s="11" t="s">
        <v>6</v>
      </c>
      <c r="D13" s="12" t="s">
        <v>119</v>
      </c>
    </row>
    <row r="14" spans="3:4" ht="18.649999999999999" customHeight="1" x14ac:dyDescent="0.35">
      <c r="C14" s="11" t="s">
        <v>7</v>
      </c>
      <c r="D14" s="12" t="s">
        <v>120</v>
      </c>
    </row>
    <row r="15" spans="3:4" ht="18.649999999999999" customHeight="1" x14ac:dyDescent="0.35">
      <c r="C15" s="13" t="s">
        <v>8</v>
      </c>
      <c r="D15" s="14" t="s">
        <v>121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53"/>
  <sheetViews>
    <sheetView zoomScale="85" workbookViewId="0">
      <selection activeCell="E23" sqref="E23"/>
    </sheetView>
  </sheetViews>
  <sheetFormatPr defaultRowHeight="14.5" x14ac:dyDescent="0.35"/>
  <cols>
    <col min="1" max="1" width="11.453125" bestFit="1" customWidth="1"/>
    <col min="2" max="2" width="14.90625" customWidth="1"/>
    <col min="3" max="3" width="22.1796875" style="20" bestFit="1" customWidth="1"/>
    <col min="4" max="4" width="29.81640625" bestFit="1" customWidth="1"/>
    <col min="5" max="5" width="15.08984375" bestFit="1" customWidth="1"/>
    <col min="6" max="6" width="18.6328125" bestFit="1" customWidth="1"/>
    <col min="7" max="7" width="21.54296875" bestFit="1" customWidth="1"/>
    <col min="8" max="8" width="18" bestFit="1" customWidth="1"/>
    <col min="9" max="9" width="23.54296875" bestFit="1" customWidth="1"/>
    <col min="10" max="10" width="23.08984375" bestFit="1" customWidth="1"/>
    <col min="11" max="11" width="30.1796875" style="1" customWidth="1"/>
    <col min="12" max="12" width="17.453125" style="1" bestFit="1" customWidth="1"/>
    <col min="13" max="13" width="17.26953125" customWidth="1"/>
    <col min="14" max="14" width="16.7265625" customWidth="1"/>
    <col min="15" max="15" width="16.90625" customWidth="1"/>
    <col min="16" max="16" width="14.81640625" customWidth="1"/>
    <col min="17" max="17" width="20.1796875" customWidth="1"/>
    <col min="18" max="18" width="19.36328125" customWidth="1"/>
    <col min="19" max="19" width="19.90625" customWidth="1"/>
  </cols>
  <sheetData>
    <row r="1" spans="1:19" s="5" customFormat="1" ht="18.5" x14ac:dyDescent="0.35">
      <c r="A1" s="5" t="s">
        <v>0</v>
      </c>
      <c r="B1" s="5" t="s">
        <v>142</v>
      </c>
      <c r="C1" s="18" t="s">
        <v>144</v>
      </c>
      <c r="D1" s="5" t="s">
        <v>143</v>
      </c>
      <c r="E1" s="5" t="s">
        <v>124</v>
      </c>
      <c r="F1" s="5" t="s">
        <v>125</v>
      </c>
      <c r="G1" s="5" t="s">
        <v>2</v>
      </c>
      <c r="H1" s="5" t="s">
        <v>3</v>
      </c>
      <c r="I1" s="5" t="s">
        <v>4</v>
      </c>
      <c r="J1" s="5" t="s">
        <v>100</v>
      </c>
      <c r="K1" s="5" t="s">
        <v>5</v>
      </c>
      <c r="L1" s="5" t="s">
        <v>6</v>
      </c>
      <c r="M1" s="6" t="s">
        <v>7</v>
      </c>
      <c r="N1" s="6" t="s">
        <v>8</v>
      </c>
      <c r="O1" s="5" t="s">
        <v>137</v>
      </c>
      <c r="P1" s="5" t="s">
        <v>138</v>
      </c>
      <c r="Q1" s="5" t="s">
        <v>139</v>
      </c>
      <c r="R1" s="5" t="s">
        <v>140</v>
      </c>
      <c r="S1" s="5" t="s">
        <v>141</v>
      </c>
    </row>
    <row r="2" spans="1:19" ht="17.399999999999999" customHeight="1" x14ac:dyDescent="0.35">
      <c r="A2" s="2">
        <v>44501</v>
      </c>
      <c r="B2" s="2" t="str">
        <f>TEXT(Bike_Sales[[#This Row],[Date]],"mmmm")</f>
        <v>November</v>
      </c>
      <c r="C2" s="19">
        <f>MONTH(Bike_Sales[[#This Row],[Date]])</f>
        <v>11</v>
      </c>
      <c r="D2" s="2" t="str">
        <f>TEXT(Bike_Sales[[#This Row],[Date]],"dddd")</f>
        <v>Monday</v>
      </c>
      <c r="E2" s="3">
        <v>17</v>
      </c>
      <c r="F2" s="3" t="s">
        <v>126</v>
      </c>
      <c r="G2" s="3" t="s">
        <v>18</v>
      </c>
      <c r="H2" s="3" t="s">
        <v>35</v>
      </c>
      <c r="I2" s="3" t="s">
        <v>11</v>
      </c>
      <c r="J2" s="3" t="s">
        <v>101</v>
      </c>
      <c r="K2" s="3" t="s">
        <v>32</v>
      </c>
      <c r="L2" s="4">
        <v>3</v>
      </c>
      <c r="M2" s="3">
        <v>700</v>
      </c>
      <c r="N2" s="3">
        <v>1100</v>
      </c>
      <c r="O2" s="15">
        <f>Bike_Sales[[#This Row],[Order_Quantity]]*Bike_Sales[[#This Row],[Unit_Price]]</f>
        <v>3300</v>
      </c>
      <c r="P2" s="15">
        <f>Bike_Sales[[#This Row],[Order_Quantity]]*Bike_Sales[[#This Row],[Unit_Cost]]</f>
        <v>2100</v>
      </c>
      <c r="Q2" s="15">
        <f>Bike_Sales[[#This Row],[Total Sales]]-Bike_Sales[[#This Row],[Total Cost]]</f>
        <v>1200</v>
      </c>
      <c r="R2" s="17">
        <f>Bike_Sales[[#This Row],[Profit]]/Bike_Sales[[#This Row],[Total Sales]]</f>
        <v>0.36363636363636365</v>
      </c>
      <c r="S2" s="16" t="str">
        <f t="shared" ref="S2:S65" si="0">IF(E2&lt;25,"Under 25",IF(E2&lt;35,"25-34",IF(E2&lt;45,"35-44",IF(E2&lt;55,"45-54","55+"))))</f>
        <v>Under 25</v>
      </c>
    </row>
    <row r="3" spans="1:19" x14ac:dyDescent="0.35">
      <c r="A3" s="2">
        <v>44502</v>
      </c>
      <c r="B3" s="2" t="str">
        <f>TEXT(Bike_Sales[[#This Row],[Date]],"mmmm")</f>
        <v>November</v>
      </c>
      <c r="C3" s="19">
        <f>MONTH(Bike_Sales[[#This Row],[Date]])</f>
        <v>11</v>
      </c>
      <c r="D3" s="2" t="str">
        <f>TEXT(Bike_Sales[[#This Row],[Date]],"dddd")</f>
        <v>Tuesday</v>
      </c>
      <c r="E3" s="3">
        <v>17</v>
      </c>
      <c r="F3" s="3" t="s">
        <v>126</v>
      </c>
      <c r="G3" s="3" t="s">
        <v>18</v>
      </c>
      <c r="H3" s="3" t="s">
        <v>24</v>
      </c>
      <c r="I3" s="3" t="s">
        <v>11</v>
      </c>
      <c r="J3" s="3" t="s">
        <v>102</v>
      </c>
      <c r="K3" s="3" t="s">
        <v>84</v>
      </c>
      <c r="L3" s="4">
        <v>3</v>
      </c>
      <c r="M3" s="3">
        <v>620</v>
      </c>
      <c r="N3" s="3">
        <v>980</v>
      </c>
      <c r="O3" s="15">
        <f>Bike_Sales[[#This Row],[Order_Quantity]]*Bike_Sales[[#This Row],[Unit_Price]]</f>
        <v>2940</v>
      </c>
      <c r="P3" s="15">
        <f>Bike_Sales[[#This Row],[Order_Quantity]]*Bike_Sales[[#This Row],[Unit_Cost]]</f>
        <v>1860</v>
      </c>
      <c r="Q3" s="15">
        <f>Bike_Sales[[#This Row],[Total Sales]]-Bike_Sales[[#This Row],[Total Cost]]</f>
        <v>1080</v>
      </c>
      <c r="R3" s="17">
        <f>Bike_Sales[[#This Row],[Profit]]/Bike_Sales[[#This Row],[Total Sales]]</f>
        <v>0.36734693877551022</v>
      </c>
      <c r="S3" s="16" t="str">
        <f t="shared" si="0"/>
        <v>Under 25</v>
      </c>
    </row>
    <row r="4" spans="1:19" x14ac:dyDescent="0.35">
      <c r="A4" s="2">
        <v>44502</v>
      </c>
      <c r="B4" s="2" t="str">
        <f>TEXT(Bike_Sales[[#This Row],[Date]],"mmmm")</f>
        <v>November</v>
      </c>
      <c r="C4" s="19">
        <f>MONTH(Bike_Sales[[#This Row],[Date]])</f>
        <v>11</v>
      </c>
      <c r="D4" s="2" t="str">
        <f>TEXT(Bike_Sales[[#This Row],[Date]],"dddd")</f>
        <v>Tuesday</v>
      </c>
      <c r="E4" s="3">
        <v>17</v>
      </c>
      <c r="F4" s="3" t="s">
        <v>126</v>
      </c>
      <c r="G4" s="3" t="s">
        <v>18</v>
      </c>
      <c r="H4" s="3" t="s">
        <v>35</v>
      </c>
      <c r="I4" s="3" t="s">
        <v>11</v>
      </c>
      <c r="J4" s="3" t="s">
        <v>101</v>
      </c>
      <c r="K4" s="3" t="s">
        <v>32</v>
      </c>
      <c r="L4" s="4">
        <v>3</v>
      </c>
      <c r="M4" s="3">
        <v>700</v>
      </c>
      <c r="N4" s="3">
        <v>1100</v>
      </c>
      <c r="O4" s="15">
        <f>Bike_Sales[[#This Row],[Order_Quantity]]*Bike_Sales[[#This Row],[Unit_Price]]</f>
        <v>3300</v>
      </c>
      <c r="P4" s="15">
        <f>Bike_Sales[[#This Row],[Order_Quantity]]*Bike_Sales[[#This Row],[Unit_Cost]]</f>
        <v>2100</v>
      </c>
      <c r="Q4" s="15">
        <f>Bike_Sales[[#This Row],[Total Sales]]-Bike_Sales[[#This Row],[Total Cost]]</f>
        <v>1200</v>
      </c>
      <c r="R4" s="17">
        <f>Bike_Sales[[#This Row],[Profit]]/Bike_Sales[[#This Row],[Total Sales]]</f>
        <v>0.36363636363636365</v>
      </c>
      <c r="S4" s="16" t="str">
        <f t="shared" si="0"/>
        <v>Under 25</v>
      </c>
    </row>
    <row r="5" spans="1:19" x14ac:dyDescent="0.35">
      <c r="A5" s="2">
        <v>44508</v>
      </c>
      <c r="B5" s="2" t="str">
        <f>TEXT(Bike_Sales[[#This Row],[Date]],"mmmm")</f>
        <v>November</v>
      </c>
      <c r="C5" s="19">
        <f>MONTH(Bike_Sales[[#This Row],[Date]])</f>
        <v>11</v>
      </c>
      <c r="D5" s="2" t="str">
        <f>TEXT(Bike_Sales[[#This Row],[Date]],"dddd")</f>
        <v>Monday</v>
      </c>
      <c r="E5" s="3">
        <v>17</v>
      </c>
      <c r="F5" s="3" t="s">
        <v>126</v>
      </c>
      <c r="G5" s="3" t="s">
        <v>18</v>
      </c>
      <c r="H5" s="3" t="s">
        <v>24</v>
      </c>
      <c r="I5" s="3" t="s">
        <v>11</v>
      </c>
      <c r="J5" s="3" t="s">
        <v>102</v>
      </c>
      <c r="K5" s="3" t="s">
        <v>84</v>
      </c>
      <c r="L5" s="4">
        <v>1</v>
      </c>
      <c r="M5" s="3">
        <v>620</v>
      </c>
      <c r="N5" s="3">
        <v>980</v>
      </c>
      <c r="O5" s="15">
        <f>Bike_Sales[[#This Row],[Order_Quantity]]*Bike_Sales[[#This Row],[Unit_Price]]</f>
        <v>980</v>
      </c>
      <c r="P5" s="15">
        <f>Bike_Sales[[#This Row],[Order_Quantity]]*Bike_Sales[[#This Row],[Unit_Cost]]</f>
        <v>620</v>
      </c>
      <c r="Q5" s="15">
        <f>Bike_Sales[[#This Row],[Total Sales]]-Bike_Sales[[#This Row],[Total Cost]]</f>
        <v>360</v>
      </c>
      <c r="R5" s="17">
        <f>Bike_Sales[[#This Row],[Profit]]/Bike_Sales[[#This Row],[Total Sales]]</f>
        <v>0.36734693877551022</v>
      </c>
      <c r="S5" s="16" t="str">
        <f t="shared" si="0"/>
        <v>Under 25</v>
      </c>
    </row>
    <row r="6" spans="1:19" x14ac:dyDescent="0.35">
      <c r="A6" s="2">
        <v>44511</v>
      </c>
      <c r="B6" s="2" t="str">
        <f>TEXT(Bike_Sales[[#This Row],[Date]],"mmmm")</f>
        <v>November</v>
      </c>
      <c r="C6" s="19">
        <f>MONTH(Bike_Sales[[#This Row],[Date]])</f>
        <v>11</v>
      </c>
      <c r="D6" s="2" t="str">
        <f>TEXT(Bike_Sales[[#This Row],[Date]],"dddd")</f>
        <v>Thursday</v>
      </c>
      <c r="E6" s="3">
        <v>17</v>
      </c>
      <c r="F6" s="3" t="s">
        <v>126</v>
      </c>
      <c r="G6" s="3" t="s">
        <v>18</v>
      </c>
      <c r="H6" s="3" t="s">
        <v>19</v>
      </c>
      <c r="I6" s="3" t="s">
        <v>11</v>
      </c>
      <c r="J6" s="3" t="s">
        <v>102</v>
      </c>
      <c r="K6" s="3" t="s">
        <v>86</v>
      </c>
      <c r="L6" s="4">
        <v>4</v>
      </c>
      <c r="M6" s="3">
        <v>620</v>
      </c>
      <c r="N6" s="3">
        <v>980</v>
      </c>
      <c r="O6" s="15">
        <f>Bike_Sales[[#This Row],[Order_Quantity]]*Bike_Sales[[#This Row],[Unit_Price]]</f>
        <v>3920</v>
      </c>
      <c r="P6" s="15">
        <f>Bike_Sales[[#This Row],[Order_Quantity]]*Bike_Sales[[#This Row],[Unit_Cost]]</f>
        <v>2480</v>
      </c>
      <c r="Q6" s="15">
        <f>Bike_Sales[[#This Row],[Total Sales]]-Bike_Sales[[#This Row],[Total Cost]]</f>
        <v>1440</v>
      </c>
      <c r="R6" s="17">
        <f>Bike_Sales[[#This Row],[Profit]]/Bike_Sales[[#This Row],[Total Sales]]</f>
        <v>0.36734693877551022</v>
      </c>
      <c r="S6" s="16" t="str">
        <f t="shared" si="0"/>
        <v>Under 25</v>
      </c>
    </row>
    <row r="7" spans="1:19" x14ac:dyDescent="0.35">
      <c r="A7" s="2">
        <v>44518</v>
      </c>
      <c r="B7" s="2" t="str">
        <f>TEXT(Bike_Sales[[#This Row],[Date]],"mmmm")</f>
        <v>November</v>
      </c>
      <c r="C7" s="19">
        <f>MONTH(Bike_Sales[[#This Row],[Date]])</f>
        <v>11</v>
      </c>
      <c r="D7" s="2" t="str">
        <f>TEXT(Bike_Sales[[#This Row],[Date]],"dddd")</f>
        <v>Thursday</v>
      </c>
      <c r="E7" s="3">
        <v>17</v>
      </c>
      <c r="F7" s="3" t="s">
        <v>126</v>
      </c>
      <c r="G7" s="3" t="s">
        <v>18</v>
      </c>
      <c r="H7" s="3" t="s">
        <v>24</v>
      </c>
      <c r="I7" s="3" t="s">
        <v>11</v>
      </c>
      <c r="J7" s="3" t="s">
        <v>102</v>
      </c>
      <c r="K7" s="3" t="s">
        <v>84</v>
      </c>
      <c r="L7" s="4">
        <v>2</v>
      </c>
      <c r="M7" s="3">
        <v>620</v>
      </c>
      <c r="N7" s="3">
        <v>980</v>
      </c>
      <c r="O7" s="15">
        <f>Bike_Sales[[#This Row],[Order_Quantity]]*Bike_Sales[[#This Row],[Unit_Price]]</f>
        <v>1960</v>
      </c>
      <c r="P7" s="15">
        <f>Bike_Sales[[#This Row],[Order_Quantity]]*Bike_Sales[[#This Row],[Unit_Cost]]</f>
        <v>1240</v>
      </c>
      <c r="Q7" s="15">
        <f>Bike_Sales[[#This Row],[Total Sales]]-Bike_Sales[[#This Row],[Total Cost]]</f>
        <v>720</v>
      </c>
      <c r="R7" s="17">
        <f>Bike_Sales[[#This Row],[Profit]]/Bike_Sales[[#This Row],[Total Sales]]</f>
        <v>0.36734693877551022</v>
      </c>
      <c r="S7" s="16" t="str">
        <f t="shared" si="0"/>
        <v>Under 25</v>
      </c>
    </row>
    <row r="8" spans="1:19" x14ac:dyDescent="0.35">
      <c r="A8" s="2">
        <v>44518</v>
      </c>
      <c r="B8" s="2" t="str">
        <f>TEXT(Bike_Sales[[#This Row],[Date]],"mmmm")</f>
        <v>November</v>
      </c>
      <c r="C8" s="19">
        <f>MONTH(Bike_Sales[[#This Row],[Date]])</f>
        <v>11</v>
      </c>
      <c r="D8" s="2" t="str">
        <f>TEXT(Bike_Sales[[#This Row],[Date]],"dddd")</f>
        <v>Thursday</v>
      </c>
      <c r="E8" s="3">
        <v>17</v>
      </c>
      <c r="F8" s="3" t="s">
        <v>126</v>
      </c>
      <c r="G8" s="3" t="s">
        <v>18</v>
      </c>
      <c r="H8" s="3" t="s">
        <v>19</v>
      </c>
      <c r="I8" s="3" t="s">
        <v>11</v>
      </c>
      <c r="J8" s="3" t="s">
        <v>102</v>
      </c>
      <c r="K8" s="3" t="s">
        <v>86</v>
      </c>
      <c r="L8" s="4">
        <v>1</v>
      </c>
      <c r="M8" s="3">
        <v>620</v>
      </c>
      <c r="N8" s="3">
        <v>980</v>
      </c>
      <c r="O8" s="15">
        <f>Bike_Sales[[#This Row],[Order_Quantity]]*Bike_Sales[[#This Row],[Unit_Price]]</f>
        <v>980</v>
      </c>
      <c r="P8" s="15">
        <f>Bike_Sales[[#This Row],[Order_Quantity]]*Bike_Sales[[#This Row],[Unit_Cost]]</f>
        <v>620</v>
      </c>
      <c r="Q8" s="15">
        <f>Bike_Sales[[#This Row],[Total Sales]]-Bike_Sales[[#This Row],[Total Cost]]</f>
        <v>360</v>
      </c>
      <c r="R8" s="17">
        <f>Bike_Sales[[#This Row],[Profit]]/Bike_Sales[[#This Row],[Total Sales]]</f>
        <v>0.36734693877551022</v>
      </c>
      <c r="S8" s="16" t="str">
        <f t="shared" si="0"/>
        <v>Under 25</v>
      </c>
    </row>
    <row r="9" spans="1:19" x14ac:dyDescent="0.35">
      <c r="A9" s="2">
        <v>44523</v>
      </c>
      <c r="B9" s="2" t="str">
        <f>TEXT(Bike_Sales[[#This Row],[Date]],"mmmm")</f>
        <v>November</v>
      </c>
      <c r="C9" s="19">
        <f>MONTH(Bike_Sales[[#This Row],[Date]])</f>
        <v>11</v>
      </c>
      <c r="D9" s="2" t="str">
        <f>TEXT(Bike_Sales[[#This Row],[Date]],"dddd")</f>
        <v>Tuesday</v>
      </c>
      <c r="E9" s="3">
        <v>17</v>
      </c>
      <c r="F9" s="3" t="s">
        <v>126</v>
      </c>
      <c r="G9" s="3" t="s">
        <v>18</v>
      </c>
      <c r="H9" s="3" t="s">
        <v>24</v>
      </c>
      <c r="I9" s="3" t="s">
        <v>11</v>
      </c>
      <c r="J9" s="3" t="s">
        <v>102</v>
      </c>
      <c r="K9" s="3" t="s">
        <v>84</v>
      </c>
      <c r="L9" s="4">
        <v>1</v>
      </c>
      <c r="M9" s="3">
        <v>620</v>
      </c>
      <c r="N9" s="3">
        <v>980</v>
      </c>
      <c r="O9" s="15">
        <f>Bike_Sales[[#This Row],[Order_Quantity]]*Bike_Sales[[#This Row],[Unit_Price]]</f>
        <v>980</v>
      </c>
      <c r="P9" s="15">
        <f>Bike_Sales[[#This Row],[Order_Quantity]]*Bike_Sales[[#This Row],[Unit_Cost]]</f>
        <v>620</v>
      </c>
      <c r="Q9" s="15">
        <f>Bike_Sales[[#This Row],[Total Sales]]-Bike_Sales[[#This Row],[Total Cost]]</f>
        <v>360</v>
      </c>
      <c r="R9" s="17">
        <f>Bike_Sales[[#This Row],[Profit]]/Bike_Sales[[#This Row],[Total Sales]]</f>
        <v>0.36734693877551022</v>
      </c>
      <c r="S9" s="16" t="str">
        <f t="shared" si="0"/>
        <v>Under 25</v>
      </c>
    </row>
    <row r="10" spans="1:19" x14ac:dyDescent="0.35">
      <c r="A10" s="2">
        <v>44526</v>
      </c>
      <c r="B10" s="2" t="str">
        <f>TEXT(Bike_Sales[[#This Row],[Date]],"mmmm")</f>
        <v>November</v>
      </c>
      <c r="C10" s="19">
        <f>MONTH(Bike_Sales[[#This Row],[Date]])</f>
        <v>11</v>
      </c>
      <c r="D10" s="2" t="str">
        <f>TEXT(Bike_Sales[[#This Row],[Date]],"dddd")</f>
        <v>Friday</v>
      </c>
      <c r="E10" s="3">
        <v>17</v>
      </c>
      <c r="F10" s="3" t="s">
        <v>135</v>
      </c>
      <c r="G10" s="3" t="s">
        <v>18</v>
      </c>
      <c r="H10" s="3" t="s">
        <v>24</v>
      </c>
      <c r="I10" s="3" t="s">
        <v>11</v>
      </c>
      <c r="J10" s="3" t="s">
        <v>102</v>
      </c>
      <c r="K10" s="3" t="s">
        <v>86</v>
      </c>
      <c r="L10" s="4">
        <v>1</v>
      </c>
      <c r="M10" s="3">
        <v>620</v>
      </c>
      <c r="N10" s="3">
        <v>980</v>
      </c>
      <c r="O10" s="15">
        <f>Bike_Sales[[#This Row],[Order_Quantity]]*Bike_Sales[[#This Row],[Unit_Price]]</f>
        <v>980</v>
      </c>
      <c r="P10" s="15">
        <f>Bike_Sales[[#This Row],[Order_Quantity]]*Bike_Sales[[#This Row],[Unit_Cost]]</f>
        <v>620</v>
      </c>
      <c r="Q10" s="15">
        <f>Bike_Sales[[#This Row],[Total Sales]]-Bike_Sales[[#This Row],[Total Cost]]</f>
        <v>360</v>
      </c>
      <c r="R10" s="17">
        <f>Bike_Sales[[#This Row],[Profit]]/Bike_Sales[[#This Row],[Total Sales]]</f>
        <v>0.36734693877551022</v>
      </c>
      <c r="S10" s="16" t="str">
        <f t="shared" si="0"/>
        <v>Under 25</v>
      </c>
    </row>
    <row r="11" spans="1:19" x14ac:dyDescent="0.35">
      <c r="A11" s="2">
        <v>44529</v>
      </c>
      <c r="B11" s="2" t="str">
        <f>TEXT(Bike_Sales[[#This Row],[Date]],"mmmm")</f>
        <v>November</v>
      </c>
      <c r="C11" s="19">
        <f>MONTH(Bike_Sales[[#This Row],[Date]])</f>
        <v>11</v>
      </c>
      <c r="D11" s="2" t="str">
        <f>TEXT(Bike_Sales[[#This Row],[Date]],"dddd")</f>
        <v>Monday</v>
      </c>
      <c r="E11" s="3">
        <v>17</v>
      </c>
      <c r="F11" s="3" t="s">
        <v>135</v>
      </c>
      <c r="G11" s="3" t="s">
        <v>18</v>
      </c>
      <c r="H11" s="3" t="s">
        <v>63</v>
      </c>
      <c r="I11" s="3" t="s">
        <v>11</v>
      </c>
      <c r="J11" s="3" t="s">
        <v>101</v>
      </c>
      <c r="K11" s="3" t="s">
        <v>32</v>
      </c>
      <c r="L11" s="4">
        <v>4</v>
      </c>
      <c r="M11" s="3">
        <v>700</v>
      </c>
      <c r="N11" s="3">
        <v>1100</v>
      </c>
      <c r="O11" s="15">
        <f>Bike_Sales[[#This Row],[Order_Quantity]]*Bike_Sales[[#This Row],[Unit_Price]]</f>
        <v>4400</v>
      </c>
      <c r="P11" s="15">
        <f>Bike_Sales[[#This Row],[Order_Quantity]]*Bike_Sales[[#This Row],[Unit_Cost]]</f>
        <v>2800</v>
      </c>
      <c r="Q11" s="15">
        <f>Bike_Sales[[#This Row],[Total Sales]]-Bike_Sales[[#This Row],[Total Cost]]</f>
        <v>1600</v>
      </c>
      <c r="R11" s="17">
        <f>Bike_Sales[[#This Row],[Profit]]/Bike_Sales[[#This Row],[Total Sales]]</f>
        <v>0.36363636363636365</v>
      </c>
      <c r="S11" s="16" t="str">
        <f t="shared" si="0"/>
        <v>Under 25</v>
      </c>
    </row>
    <row r="12" spans="1:19" x14ac:dyDescent="0.35">
      <c r="A12" s="2">
        <v>44529</v>
      </c>
      <c r="B12" s="2" t="str">
        <f>TEXT(Bike_Sales[[#This Row],[Date]],"mmmm")</f>
        <v>November</v>
      </c>
      <c r="C12" s="19">
        <f>MONTH(Bike_Sales[[#This Row],[Date]])</f>
        <v>11</v>
      </c>
      <c r="D12" s="2" t="str">
        <f>TEXT(Bike_Sales[[#This Row],[Date]],"dddd")</f>
        <v>Monday</v>
      </c>
      <c r="E12" s="3">
        <v>17</v>
      </c>
      <c r="F12" s="3" t="s">
        <v>126</v>
      </c>
      <c r="G12" s="3" t="s">
        <v>39</v>
      </c>
      <c r="H12" s="3" t="s">
        <v>42</v>
      </c>
      <c r="I12" s="3" t="s">
        <v>16</v>
      </c>
      <c r="J12" s="3" t="s">
        <v>103</v>
      </c>
      <c r="K12" s="3" t="s">
        <v>50</v>
      </c>
      <c r="L12" s="4">
        <v>1</v>
      </c>
      <c r="M12" s="3">
        <v>550</v>
      </c>
      <c r="N12" s="3">
        <v>850</v>
      </c>
      <c r="O12" s="15">
        <f>Bike_Sales[[#This Row],[Order_Quantity]]*Bike_Sales[[#This Row],[Unit_Price]]</f>
        <v>850</v>
      </c>
      <c r="P12" s="15">
        <f>Bike_Sales[[#This Row],[Order_Quantity]]*Bike_Sales[[#This Row],[Unit_Cost]]</f>
        <v>550</v>
      </c>
      <c r="Q12" s="15">
        <f>Bike_Sales[[#This Row],[Total Sales]]-Bike_Sales[[#This Row],[Total Cost]]</f>
        <v>300</v>
      </c>
      <c r="R12" s="17">
        <f>Bike_Sales[[#This Row],[Profit]]/Bike_Sales[[#This Row],[Total Sales]]</f>
        <v>0.35294117647058826</v>
      </c>
      <c r="S12" s="16" t="str">
        <f t="shared" si="0"/>
        <v>Under 25</v>
      </c>
    </row>
    <row r="13" spans="1:19" x14ac:dyDescent="0.35">
      <c r="A13" s="2">
        <v>44530</v>
      </c>
      <c r="B13" s="2" t="str">
        <f>TEXT(Bike_Sales[[#This Row],[Date]],"mmmm")</f>
        <v>November</v>
      </c>
      <c r="C13" s="19">
        <f>MONTH(Bike_Sales[[#This Row],[Date]])</f>
        <v>11</v>
      </c>
      <c r="D13" s="2" t="str">
        <f>TEXT(Bike_Sales[[#This Row],[Date]],"dddd")</f>
        <v>Tuesday</v>
      </c>
      <c r="E13" s="3">
        <v>17</v>
      </c>
      <c r="F13" s="3" t="s">
        <v>126</v>
      </c>
      <c r="G13" s="3" t="s">
        <v>18</v>
      </c>
      <c r="H13" s="3" t="s">
        <v>24</v>
      </c>
      <c r="I13" s="3" t="s">
        <v>11</v>
      </c>
      <c r="J13" s="3" t="s">
        <v>102</v>
      </c>
      <c r="K13" s="3" t="s">
        <v>84</v>
      </c>
      <c r="L13" s="4">
        <v>3</v>
      </c>
      <c r="M13" s="3">
        <v>620</v>
      </c>
      <c r="N13" s="3">
        <v>980</v>
      </c>
      <c r="O13" s="15">
        <f>Bike_Sales[[#This Row],[Order_Quantity]]*Bike_Sales[[#This Row],[Unit_Price]]</f>
        <v>2940</v>
      </c>
      <c r="P13" s="15">
        <f>Bike_Sales[[#This Row],[Order_Quantity]]*Bike_Sales[[#This Row],[Unit_Cost]]</f>
        <v>1860</v>
      </c>
      <c r="Q13" s="15">
        <f>Bike_Sales[[#This Row],[Total Sales]]-Bike_Sales[[#This Row],[Total Cost]]</f>
        <v>1080</v>
      </c>
      <c r="R13" s="17">
        <f>Bike_Sales[[#This Row],[Profit]]/Bike_Sales[[#This Row],[Total Sales]]</f>
        <v>0.36734693877551022</v>
      </c>
      <c r="S13" s="16" t="str">
        <f t="shared" si="0"/>
        <v>Under 25</v>
      </c>
    </row>
    <row r="14" spans="1:19" x14ac:dyDescent="0.35">
      <c r="A14" s="2">
        <v>44549</v>
      </c>
      <c r="B14" s="2" t="str">
        <f>TEXT(Bike_Sales[[#This Row],[Date]],"mmmm")</f>
        <v>December</v>
      </c>
      <c r="C14" s="19">
        <f>MONTH(Bike_Sales[[#This Row],[Date]])</f>
        <v>12</v>
      </c>
      <c r="D14" s="2" t="str">
        <f>TEXT(Bike_Sales[[#This Row],[Date]],"dddd")</f>
        <v>Sunday</v>
      </c>
      <c r="E14" s="3">
        <v>17</v>
      </c>
      <c r="F14" s="3" t="s">
        <v>126</v>
      </c>
      <c r="G14" s="3" t="s">
        <v>39</v>
      </c>
      <c r="H14" s="3" t="s">
        <v>42</v>
      </c>
      <c r="I14" s="3" t="s">
        <v>16</v>
      </c>
      <c r="J14" s="3" t="s">
        <v>103</v>
      </c>
      <c r="K14" s="3" t="s">
        <v>50</v>
      </c>
      <c r="L14" s="4">
        <v>4</v>
      </c>
      <c r="M14" s="3">
        <v>550</v>
      </c>
      <c r="N14" s="3">
        <v>850</v>
      </c>
      <c r="O14" s="15">
        <f>Bike_Sales[[#This Row],[Order_Quantity]]*Bike_Sales[[#This Row],[Unit_Price]]</f>
        <v>3400</v>
      </c>
      <c r="P14" s="15">
        <f>Bike_Sales[[#This Row],[Order_Quantity]]*Bike_Sales[[#This Row],[Unit_Cost]]</f>
        <v>2200</v>
      </c>
      <c r="Q14" s="15">
        <f>Bike_Sales[[#This Row],[Total Sales]]-Bike_Sales[[#This Row],[Total Cost]]</f>
        <v>1200</v>
      </c>
      <c r="R14" s="17">
        <f>Bike_Sales[[#This Row],[Profit]]/Bike_Sales[[#This Row],[Total Sales]]</f>
        <v>0.35294117647058826</v>
      </c>
      <c r="S14" s="16" t="str">
        <f t="shared" si="0"/>
        <v>Under 25</v>
      </c>
    </row>
    <row r="15" spans="1:19" x14ac:dyDescent="0.35">
      <c r="A15" s="2">
        <v>44482</v>
      </c>
      <c r="B15" s="2" t="str">
        <f>TEXT(Bike_Sales[[#This Row],[Date]],"mmmm")</f>
        <v>October</v>
      </c>
      <c r="C15" s="19">
        <f>MONTH(Bike_Sales[[#This Row],[Date]])</f>
        <v>10</v>
      </c>
      <c r="D15" s="2" t="str">
        <f>TEXT(Bike_Sales[[#This Row],[Date]],"dddd")</f>
        <v>Wednesday</v>
      </c>
      <c r="E15" s="3">
        <v>18</v>
      </c>
      <c r="F15" s="3" t="s">
        <v>135</v>
      </c>
      <c r="G15" s="3" t="s">
        <v>9</v>
      </c>
      <c r="H15" s="3" t="s">
        <v>37</v>
      </c>
      <c r="I15" s="3" t="s">
        <v>11</v>
      </c>
      <c r="J15" s="3" t="s">
        <v>102</v>
      </c>
      <c r="K15" s="3" t="s">
        <v>26</v>
      </c>
      <c r="L15" s="4">
        <v>3</v>
      </c>
      <c r="M15" s="3">
        <v>900</v>
      </c>
      <c r="N15" s="3">
        <v>1400</v>
      </c>
      <c r="O15" s="15">
        <f>Bike_Sales[[#This Row],[Order_Quantity]]*Bike_Sales[[#This Row],[Unit_Price]]</f>
        <v>4200</v>
      </c>
      <c r="P15" s="15">
        <f>Bike_Sales[[#This Row],[Order_Quantity]]*Bike_Sales[[#This Row],[Unit_Cost]]</f>
        <v>2700</v>
      </c>
      <c r="Q15" s="15">
        <f>Bike_Sales[[#This Row],[Total Sales]]-Bike_Sales[[#This Row],[Total Cost]]</f>
        <v>1500</v>
      </c>
      <c r="R15" s="17">
        <f>Bike_Sales[[#This Row],[Profit]]/Bike_Sales[[#This Row],[Total Sales]]</f>
        <v>0.35714285714285715</v>
      </c>
      <c r="S15" s="16" t="str">
        <f t="shared" si="0"/>
        <v>Under 25</v>
      </c>
    </row>
    <row r="16" spans="1:19" x14ac:dyDescent="0.35">
      <c r="A16" s="2">
        <v>44503</v>
      </c>
      <c r="B16" s="2" t="str">
        <f>TEXT(Bike_Sales[[#This Row],[Date]],"mmmm")</f>
        <v>November</v>
      </c>
      <c r="C16" s="19">
        <f>MONTH(Bike_Sales[[#This Row],[Date]])</f>
        <v>11</v>
      </c>
      <c r="D16" s="2" t="str">
        <f>TEXT(Bike_Sales[[#This Row],[Date]],"dddd")</f>
        <v>Wednesday</v>
      </c>
      <c r="E16" s="3">
        <v>18</v>
      </c>
      <c r="F16" s="3" t="s">
        <v>135</v>
      </c>
      <c r="G16" s="3" t="s">
        <v>18</v>
      </c>
      <c r="H16" s="3" t="s">
        <v>19</v>
      </c>
      <c r="I16" s="3" t="s">
        <v>11</v>
      </c>
      <c r="J16" s="3" t="s">
        <v>102</v>
      </c>
      <c r="K16" s="3" t="s">
        <v>47</v>
      </c>
      <c r="L16" s="4">
        <v>4</v>
      </c>
      <c r="M16" s="3">
        <v>900</v>
      </c>
      <c r="N16" s="3">
        <v>1400</v>
      </c>
      <c r="O16" s="15">
        <f>Bike_Sales[[#This Row],[Order_Quantity]]*Bike_Sales[[#This Row],[Unit_Price]]</f>
        <v>5600</v>
      </c>
      <c r="P16" s="15">
        <f>Bike_Sales[[#This Row],[Order_Quantity]]*Bike_Sales[[#This Row],[Unit_Cost]]</f>
        <v>3600</v>
      </c>
      <c r="Q16" s="15">
        <f>Bike_Sales[[#This Row],[Total Sales]]-Bike_Sales[[#This Row],[Total Cost]]</f>
        <v>2000</v>
      </c>
      <c r="R16" s="17">
        <f>Bike_Sales[[#This Row],[Profit]]/Bike_Sales[[#This Row],[Total Sales]]</f>
        <v>0.35714285714285715</v>
      </c>
      <c r="S16" s="16" t="str">
        <f t="shared" si="0"/>
        <v>Under 25</v>
      </c>
    </row>
    <row r="17" spans="1:19" x14ac:dyDescent="0.35">
      <c r="A17" s="2">
        <v>44507</v>
      </c>
      <c r="B17" s="2" t="str">
        <f>TEXT(Bike_Sales[[#This Row],[Date]],"mmmm")</f>
        <v>November</v>
      </c>
      <c r="C17" s="19">
        <f>MONTH(Bike_Sales[[#This Row],[Date]])</f>
        <v>11</v>
      </c>
      <c r="D17" s="2" t="str">
        <f>TEXT(Bike_Sales[[#This Row],[Date]],"dddd")</f>
        <v>Sunday</v>
      </c>
      <c r="E17" s="3">
        <v>18</v>
      </c>
      <c r="F17" s="3" t="s">
        <v>135</v>
      </c>
      <c r="G17" s="3" t="s">
        <v>18</v>
      </c>
      <c r="H17" s="3" t="s">
        <v>19</v>
      </c>
      <c r="I17" s="3" t="s">
        <v>11</v>
      </c>
      <c r="J17" s="3" t="s">
        <v>102</v>
      </c>
      <c r="K17" s="3" t="s">
        <v>47</v>
      </c>
      <c r="L17" s="4">
        <v>1</v>
      </c>
      <c r="M17" s="3">
        <v>900</v>
      </c>
      <c r="N17" s="3">
        <v>1400</v>
      </c>
      <c r="O17" s="15">
        <f>Bike_Sales[[#This Row],[Order_Quantity]]*Bike_Sales[[#This Row],[Unit_Price]]</f>
        <v>1400</v>
      </c>
      <c r="P17" s="15">
        <f>Bike_Sales[[#This Row],[Order_Quantity]]*Bike_Sales[[#This Row],[Unit_Cost]]</f>
        <v>900</v>
      </c>
      <c r="Q17" s="15">
        <f>Bike_Sales[[#This Row],[Total Sales]]-Bike_Sales[[#This Row],[Total Cost]]</f>
        <v>500</v>
      </c>
      <c r="R17" s="17">
        <f>Bike_Sales[[#This Row],[Profit]]/Bike_Sales[[#This Row],[Total Sales]]</f>
        <v>0.35714285714285715</v>
      </c>
      <c r="S17" s="16" t="str">
        <f t="shared" si="0"/>
        <v>Under 25</v>
      </c>
    </row>
    <row r="18" spans="1:19" x14ac:dyDescent="0.35">
      <c r="A18" s="2">
        <v>44511</v>
      </c>
      <c r="B18" s="2" t="str">
        <f>TEXT(Bike_Sales[[#This Row],[Date]],"mmmm")</f>
        <v>November</v>
      </c>
      <c r="C18" s="19">
        <f>MONTH(Bike_Sales[[#This Row],[Date]])</f>
        <v>11</v>
      </c>
      <c r="D18" s="2" t="str">
        <f>TEXT(Bike_Sales[[#This Row],[Date]],"dddd")</f>
        <v>Thursday</v>
      </c>
      <c r="E18" s="3">
        <v>18</v>
      </c>
      <c r="F18" s="3" t="s">
        <v>126</v>
      </c>
      <c r="G18" s="3" t="s">
        <v>18</v>
      </c>
      <c r="H18" s="3" t="s">
        <v>35</v>
      </c>
      <c r="I18" s="3" t="s">
        <v>11</v>
      </c>
      <c r="J18" s="3" t="s">
        <v>101</v>
      </c>
      <c r="K18" s="3" t="s">
        <v>44</v>
      </c>
      <c r="L18" s="4">
        <v>3</v>
      </c>
      <c r="M18" s="3">
        <v>700</v>
      </c>
      <c r="N18" s="3">
        <v>1100</v>
      </c>
      <c r="O18" s="15">
        <f>Bike_Sales[[#This Row],[Order_Quantity]]*Bike_Sales[[#This Row],[Unit_Price]]</f>
        <v>3300</v>
      </c>
      <c r="P18" s="15">
        <f>Bike_Sales[[#This Row],[Order_Quantity]]*Bike_Sales[[#This Row],[Unit_Cost]]</f>
        <v>2100</v>
      </c>
      <c r="Q18" s="15">
        <f>Bike_Sales[[#This Row],[Total Sales]]-Bike_Sales[[#This Row],[Total Cost]]</f>
        <v>1200</v>
      </c>
      <c r="R18" s="17">
        <f>Bike_Sales[[#This Row],[Profit]]/Bike_Sales[[#This Row],[Total Sales]]</f>
        <v>0.36363636363636365</v>
      </c>
      <c r="S18" s="16" t="str">
        <f t="shared" si="0"/>
        <v>Under 25</v>
      </c>
    </row>
    <row r="19" spans="1:19" x14ac:dyDescent="0.35">
      <c r="A19" s="2">
        <v>44511</v>
      </c>
      <c r="B19" s="2" t="str">
        <f>TEXT(Bike_Sales[[#This Row],[Date]],"mmmm")</f>
        <v>November</v>
      </c>
      <c r="C19" s="19">
        <f>MONTH(Bike_Sales[[#This Row],[Date]])</f>
        <v>11</v>
      </c>
      <c r="D19" s="2" t="str">
        <f>TEXT(Bike_Sales[[#This Row],[Date]],"dddd")</f>
        <v>Thursday</v>
      </c>
      <c r="E19" s="3">
        <v>18</v>
      </c>
      <c r="F19" s="3" t="s">
        <v>135</v>
      </c>
      <c r="G19" s="3" t="s">
        <v>18</v>
      </c>
      <c r="H19" s="3" t="s">
        <v>24</v>
      </c>
      <c r="I19" s="3" t="s">
        <v>11</v>
      </c>
      <c r="J19" s="3" t="s">
        <v>101</v>
      </c>
      <c r="K19" s="3" t="s">
        <v>60</v>
      </c>
      <c r="L19" s="4">
        <v>1</v>
      </c>
      <c r="M19" s="3">
        <v>700</v>
      </c>
      <c r="N19" s="3">
        <v>1100</v>
      </c>
      <c r="O19" s="15">
        <f>Bike_Sales[[#This Row],[Order_Quantity]]*Bike_Sales[[#This Row],[Unit_Price]]</f>
        <v>1100</v>
      </c>
      <c r="P19" s="15">
        <f>Bike_Sales[[#This Row],[Order_Quantity]]*Bike_Sales[[#This Row],[Unit_Cost]]</f>
        <v>700</v>
      </c>
      <c r="Q19" s="15">
        <f>Bike_Sales[[#This Row],[Total Sales]]-Bike_Sales[[#This Row],[Total Cost]]</f>
        <v>400</v>
      </c>
      <c r="R19" s="17">
        <f>Bike_Sales[[#This Row],[Profit]]/Bike_Sales[[#This Row],[Total Sales]]</f>
        <v>0.36363636363636365</v>
      </c>
      <c r="S19" s="16" t="str">
        <f t="shared" si="0"/>
        <v>Under 25</v>
      </c>
    </row>
    <row r="20" spans="1:19" x14ac:dyDescent="0.35">
      <c r="A20" s="2">
        <v>44520</v>
      </c>
      <c r="B20" s="2" t="str">
        <f>TEXT(Bike_Sales[[#This Row],[Date]],"mmmm")</f>
        <v>November</v>
      </c>
      <c r="C20" s="19">
        <f>MONTH(Bike_Sales[[#This Row],[Date]])</f>
        <v>11</v>
      </c>
      <c r="D20" s="2" t="str">
        <f>TEXT(Bike_Sales[[#This Row],[Date]],"dddd")</f>
        <v>Saturday</v>
      </c>
      <c r="E20" s="3">
        <v>18</v>
      </c>
      <c r="F20" s="3" t="s">
        <v>135</v>
      </c>
      <c r="G20" s="3" t="s">
        <v>18</v>
      </c>
      <c r="H20" s="3" t="s">
        <v>24</v>
      </c>
      <c r="I20" s="3" t="s">
        <v>11</v>
      </c>
      <c r="J20" s="3" t="s">
        <v>101</v>
      </c>
      <c r="K20" s="3" t="s">
        <v>60</v>
      </c>
      <c r="L20" s="4">
        <v>1</v>
      </c>
      <c r="M20" s="3">
        <v>700</v>
      </c>
      <c r="N20" s="3">
        <v>1100</v>
      </c>
      <c r="O20" s="15">
        <f>Bike_Sales[[#This Row],[Order_Quantity]]*Bike_Sales[[#This Row],[Unit_Price]]</f>
        <v>1100</v>
      </c>
      <c r="P20" s="15">
        <f>Bike_Sales[[#This Row],[Order_Quantity]]*Bike_Sales[[#This Row],[Unit_Cost]]</f>
        <v>700</v>
      </c>
      <c r="Q20" s="15">
        <f>Bike_Sales[[#This Row],[Total Sales]]-Bike_Sales[[#This Row],[Total Cost]]</f>
        <v>400</v>
      </c>
      <c r="R20" s="17">
        <f>Bike_Sales[[#This Row],[Profit]]/Bike_Sales[[#This Row],[Total Sales]]</f>
        <v>0.36363636363636365</v>
      </c>
      <c r="S20" s="16" t="str">
        <f t="shared" si="0"/>
        <v>Under 25</v>
      </c>
    </row>
    <row r="21" spans="1:19" x14ac:dyDescent="0.35">
      <c r="A21" s="2">
        <v>44522</v>
      </c>
      <c r="B21" s="2" t="str">
        <f>TEXT(Bike_Sales[[#This Row],[Date]],"mmmm")</f>
        <v>November</v>
      </c>
      <c r="C21" s="19">
        <f>MONTH(Bike_Sales[[#This Row],[Date]])</f>
        <v>11</v>
      </c>
      <c r="D21" s="2" t="str">
        <f>TEXT(Bike_Sales[[#This Row],[Date]],"dddd")</f>
        <v>Monday</v>
      </c>
      <c r="E21" s="3">
        <v>18</v>
      </c>
      <c r="F21" s="3" t="s">
        <v>135</v>
      </c>
      <c r="G21" s="3" t="s">
        <v>18</v>
      </c>
      <c r="H21" s="3" t="s">
        <v>19</v>
      </c>
      <c r="I21" s="3" t="s">
        <v>11</v>
      </c>
      <c r="J21" s="3" t="s">
        <v>102</v>
      </c>
      <c r="K21" s="3" t="s">
        <v>47</v>
      </c>
      <c r="L21" s="4">
        <v>1</v>
      </c>
      <c r="M21" s="3">
        <v>900</v>
      </c>
      <c r="N21" s="3">
        <v>1400</v>
      </c>
      <c r="O21" s="15">
        <f>Bike_Sales[[#This Row],[Order_Quantity]]*Bike_Sales[[#This Row],[Unit_Price]]</f>
        <v>1400</v>
      </c>
      <c r="P21" s="15">
        <f>Bike_Sales[[#This Row],[Order_Quantity]]*Bike_Sales[[#This Row],[Unit_Cost]]</f>
        <v>900</v>
      </c>
      <c r="Q21" s="15">
        <f>Bike_Sales[[#This Row],[Total Sales]]-Bike_Sales[[#This Row],[Total Cost]]</f>
        <v>500</v>
      </c>
      <c r="R21" s="17">
        <f>Bike_Sales[[#This Row],[Profit]]/Bike_Sales[[#This Row],[Total Sales]]</f>
        <v>0.35714285714285715</v>
      </c>
      <c r="S21" s="16" t="str">
        <f t="shared" si="0"/>
        <v>Under 25</v>
      </c>
    </row>
    <row r="22" spans="1:19" x14ac:dyDescent="0.35">
      <c r="A22" s="2">
        <v>44530</v>
      </c>
      <c r="B22" s="2" t="str">
        <f>TEXT(Bike_Sales[[#This Row],[Date]],"mmmm")</f>
        <v>November</v>
      </c>
      <c r="C22" s="19">
        <f>MONTH(Bike_Sales[[#This Row],[Date]])</f>
        <v>11</v>
      </c>
      <c r="D22" s="2" t="str">
        <f>TEXT(Bike_Sales[[#This Row],[Date]],"dddd")</f>
        <v>Tuesday</v>
      </c>
      <c r="E22" s="3">
        <v>18</v>
      </c>
      <c r="F22" s="3" t="s">
        <v>126</v>
      </c>
      <c r="G22" s="3" t="s">
        <v>33</v>
      </c>
      <c r="H22" s="3" t="s">
        <v>61</v>
      </c>
      <c r="I22" s="3" t="s">
        <v>11</v>
      </c>
      <c r="J22" s="3" t="s">
        <v>102</v>
      </c>
      <c r="K22" s="3" t="s">
        <v>36</v>
      </c>
      <c r="L22" s="4">
        <v>2</v>
      </c>
      <c r="M22" s="3">
        <v>580</v>
      </c>
      <c r="N22" s="3">
        <v>920</v>
      </c>
      <c r="O22" s="15">
        <f>Bike_Sales[[#This Row],[Order_Quantity]]*Bike_Sales[[#This Row],[Unit_Price]]</f>
        <v>1840</v>
      </c>
      <c r="P22" s="15">
        <f>Bike_Sales[[#This Row],[Order_Quantity]]*Bike_Sales[[#This Row],[Unit_Cost]]</f>
        <v>1160</v>
      </c>
      <c r="Q22" s="15">
        <f>Bike_Sales[[#This Row],[Total Sales]]-Bike_Sales[[#This Row],[Total Cost]]</f>
        <v>680</v>
      </c>
      <c r="R22" s="17">
        <f>Bike_Sales[[#This Row],[Profit]]/Bike_Sales[[#This Row],[Total Sales]]</f>
        <v>0.36956521739130432</v>
      </c>
      <c r="S22" s="16" t="str">
        <f t="shared" si="0"/>
        <v>Under 25</v>
      </c>
    </row>
    <row r="23" spans="1:19" x14ac:dyDescent="0.35">
      <c r="A23" s="2">
        <v>44541</v>
      </c>
      <c r="B23" s="2" t="str">
        <f>TEXT(Bike_Sales[[#This Row],[Date]],"mmmm")</f>
        <v>December</v>
      </c>
      <c r="C23" s="19">
        <f>MONTH(Bike_Sales[[#This Row],[Date]])</f>
        <v>12</v>
      </c>
      <c r="D23" s="2" t="str">
        <f>TEXT(Bike_Sales[[#This Row],[Date]],"dddd")</f>
        <v>Saturday</v>
      </c>
      <c r="E23" s="3">
        <v>18</v>
      </c>
      <c r="F23" s="3" t="s">
        <v>135</v>
      </c>
      <c r="G23" s="3" t="s">
        <v>9</v>
      </c>
      <c r="H23" s="3" t="s">
        <v>10</v>
      </c>
      <c r="I23" s="3" t="s">
        <v>11</v>
      </c>
      <c r="J23" s="3" t="s">
        <v>101</v>
      </c>
      <c r="K23" s="3" t="s">
        <v>91</v>
      </c>
      <c r="L23" s="4">
        <v>1</v>
      </c>
      <c r="M23" s="3">
        <v>620</v>
      </c>
      <c r="N23" s="3">
        <v>980</v>
      </c>
      <c r="O23" s="15">
        <f>Bike_Sales[[#This Row],[Order_Quantity]]*Bike_Sales[[#This Row],[Unit_Price]]</f>
        <v>980</v>
      </c>
      <c r="P23" s="15">
        <f>Bike_Sales[[#This Row],[Order_Quantity]]*Bike_Sales[[#This Row],[Unit_Cost]]</f>
        <v>620</v>
      </c>
      <c r="Q23" s="15">
        <f>Bike_Sales[[#This Row],[Total Sales]]-Bike_Sales[[#This Row],[Total Cost]]</f>
        <v>360</v>
      </c>
      <c r="R23" s="17">
        <f>Bike_Sales[[#This Row],[Profit]]/Bike_Sales[[#This Row],[Total Sales]]</f>
        <v>0.36734693877551022</v>
      </c>
      <c r="S23" s="16" t="str">
        <f t="shared" si="0"/>
        <v>Under 25</v>
      </c>
    </row>
    <row r="24" spans="1:19" x14ac:dyDescent="0.35">
      <c r="A24" s="2">
        <v>44542</v>
      </c>
      <c r="B24" s="2" t="str">
        <f>TEXT(Bike_Sales[[#This Row],[Date]],"mmmm")</f>
        <v>December</v>
      </c>
      <c r="C24" s="19">
        <f>MONTH(Bike_Sales[[#This Row],[Date]])</f>
        <v>12</v>
      </c>
      <c r="D24" s="2" t="str">
        <f>TEXT(Bike_Sales[[#This Row],[Date]],"dddd")</f>
        <v>Sunday</v>
      </c>
      <c r="E24" s="3">
        <v>18</v>
      </c>
      <c r="F24" s="3" t="s">
        <v>126</v>
      </c>
      <c r="G24" s="3" t="s">
        <v>33</v>
      </c>
      <c r="H24" s="3" t="s">
        <v>73</v>
      </c>
      <c r="I24" s="3" t="s">
        <v>11</v>
      </c>
      <c r="J24" s="3" t="s">
        <v>101</v>
      </c>
      <c r="K24" s="3" t="s">
        <v>46</v>
      </c>
      <c r="L24" s="4">
        <v>3</v>
      </c>
      <c r="M24" s="3">
        <v>580</v>
      </c>
      <c r="N24" s="3">
        <v>920</v>
      </c>
      <c r="O24" s="15">
        <f>Bike_Sales[[#This Row],[Order_Quantity]]*Bike_Sales[[#This Row],[Unit_Price]]</f>
        <v>2760</v>
      </c>
      <c r="P24" s="15">
        <f>Bike_Sales[[#This Row],[Order_Quantity]]*Bike_Sales[[#This Row],[Unit_Cost]]</f>
        <v>1740</v>
      </c>
      <c r="Q24" s="15">
        <f>Bike_Sales[[#This Row],[Total Sales]]-Bike_Sales[[#This Row],[Total Cost]]</f>
        <v>1020</v>
      </c>
      <c r="R24" s="17">
        <f>Bike_Sales[[#This Row],[Profit]]/Bike_Sales[[#This Row],[Total Sales]]</f>
        <v>0.36956521739130432</v>
      </c>
      <c r="S24" s="16" t="str">
        <f t="shared" si="0"/>
        <v>Under 25</v>
      </c>
    </row>
    <row r="25" spans="1:19" x14ac:dyDescent="0.35">
      <c r="A25" s="2">
        <v>44546</v>
      </c>
      <c r="B25" s="2" t="str">
        <f>TEXT(Bike_Sales[[#This Row],[Date]],"mmmm")</f>
        <v>December</v>
      </c>
      <c r="C25" s="19">
        <f>MONTH(Bike_Sales[[#This Row],[Date]])</f>
        <v>12</v>
      </c>
      <c r="D25" s="2" t="str">
        <f>TEXT(Bike_Sales[[#This Row],[Date]],"dddd")</f>
        <v>Thursday</v>
      </c>
      <c r="E25" s="3">
        <v>18</v>
      </c>
      <c r="F25" s="3" t="s">
        <v>135</v>
      </c>
      <c r="G25" s="3" t="s">
        <v>9</v>
      </c>
      <c r="H25" s="3" t="s">
        <v>69</v>
      </c>
      <c r="I25" s="3" t="s">
        <v>11</v>
      </c>
      <c r="J25" s="3" t="s">
        <v>102</v>
      </c>
      <c r="K25" s="3" t="s">
        <v>84</v>
      </c>
      <c r="L25" s="4">
        <v>1</v>
      </c>
      <c r="M25" s="3">
        <v>620</v>
      </c>
      <c r="N25" s="3">
        <v>980</v>
      </c>
      <c r="O25" s="15">
        <f>Bike_Sales[[#This Row],[Order_Quantity]]*Bike_Sales[[#This Row],[Unit_Price]]</f>
        <v>980</v>
      </c>
      <c r="P25" s="15">
        <f>Bike_Sales[[#This Row],[Order_Quantity]]*Bike_Sales[[#This Row],[Unit_Cost]]</f>
        <v>620</v>
      </c>
      <c r="Q25" s="15">
        <f>Bike_Sales[[#This Row],[Total Sales]]-Bike_Sales[[#This Row],[Total Cost]]</f>
        <v>360</v>
      </c>
      <c r="R25" s="17">
        <f>Bike_Sales[[#This Row],[Profit]]/Bike_Sales[[#This Row],[Total Sales]]</f>
        <v>0.36734693877551022</v>
      </c>
      <c r="S25" s="16" t="str">
        <f t="shared" si="0"/>
        <v>Under 25</v>
      </c>
    </row>
    <row r="26" spans="1:19" x14ac:dyDescent="0.35">
      <c r="A26" s="2">
        <v>44547</v>
      </c>
      <c r="B26" s="2" t="str">
        <f>TEXT(Bike_Sales[[#This Row],[Date]],"mmmm")</f>
        <v>December</v>
      </c>
      <c r="C26" s="19">
        <f>MONTH(Bike_Sales[[#This Row],[Date]])</f>
        <v>12</v>
      </c>
      <c r="D26" s="2" t="str">
        <f>TEXT(Bike_Sales[[#This Row],[Date]],"dddd")</f>
        <v>Friday</v>
      </c>
      <c r="E26" s="3">
        <v>18</v>
      </c>
      <c r="F26" s="3" t="s">
        <v>126</v>
      </c>
      <c r="G26" s="3" t="s">
        <v>9</v>
      </c>
      <c r="H26" s="3" t="s">
        <v>10</v>
      </c>
      <c r="I26" s="3" t="s">
        <v>11</v>
      </c>
      <c r="J26" s="3" t="s">
        <v>104</v>
      </c>
      <c r="K26" s="3" t="s">
        <v>12</v>
      </c>
      <c r="L26" s="4">
        <v>4</v>
      </c>
      <c r="M26" s="3">
        <v>500</v>
      </c>
      <c r="N26" s="3">
        <v>800</v>
      </c>
      <c r="O26" s="15">
        <f>Bike_Sales[[#This Row],[Order_Quantity]]*Bike_Sales[[#This Row],[Unit_Price]]</f>
        <v>3200</v>
      </c>
      <c r="P26" s="15">
        <f>Bike_Sales[[#This Row],[Order_Quantity]]*Bike_Sales[[#This Row],[Unit_Cost]]</f>
        <v>2000</v>
      </c>
      <c r="Q26" s="15">
        <f>Bike_Sales[[#This Row],[Total Sales]]-Bike_Sales[[#This Row],[Total Cost]]</f>
        <v>1200</v>
      </c>
      <c r="R26" s="17">
        <f>Bike_Sales[[#This Row],[Profit]]/Bike_Sales[[#This Row],[Total Sales]]</f>
        <v>0.375</v>
      </c>
      <c r="S26" s="16" t="str">
        <f t="shared" si="0"/>
        <v>Under 25</v>
      </c>
    </row>
    <row r="27" spans="1:19" x14ac:dyDescent="0.35">
      <c r="A27" s="2">
        <v>44549</v>
      </c>
      <c r="B27" s="2" t="str">
        <f>TEXT(Bike_Sales[[#This Row],[Date]],"mmmm")</f>
        <v>December</v>
      </c>
      <c r="C27" s="19">
        <f>MONTH(Bike_Sales[[#This Row],[Date]])</f>
        <v>12</v>
      </c>
      <c r="D27" s="2" t="str">
        <f>TEXT(Bike_Sales[[#This Row],[Date]],"dddd")</f>
        <v>Sunday</v>
      </c>
      <c r="E27" s="3">
        <v>18</v>
      </c>
      <c r="F27" s="3" t="s">
        <v>126</v>
      </c>
      <c r="G27" s="3" t="s">
        <v>18</v>
      </c>
      <c r="H27" s="3" t="s">
        <v>21</v>
      </c>
      <c r="I27" s="3" t="s">
        <v>16</v>
      </c>
      <c r="J27" s="3" t="s">
        <v>101</v>
      </c>
      <c r="K27" s="3" t="s">
        <v>94</v>
      </c>
      <c r="L27" s="4">
        <v>2</v>
      </c>
      <c r="M27" s="3">
        <v>480</v>
      </c>
      <c r="N27" s="3">
        <v>760</v>
      </c>
      <c r="O27" s="15">
        <f>Bike_Sales[[#This Row],[Order_Quantity]]*Bike_Sales[[#This Row],[Unit_Price]]</f>
        <v>1520</v>
      </c>
      <c r="P27" s="15">
        <f>Bike_Sales[[#This Row],[Order_Quantity]]*Bike_Sales[[#This Row],[Unit_Cost]]</f>
        <v>960</v>
      </c>
      <c r="Q27" s="15">
        <f>Bike_Sales[[#This Row],[Total Sales]]-Bike_Sales[[#This Row],[Total Cost]]</f>
        <v>560</v>
      </c>
      <c r="R27" s="17">
        <f>Bike_Sales[[#This Row],[Profit]]/Bike_Sales[[#This Row],[Total Sales]]</f>
        <v>0.36842105263157893</v>
      </c>
      <c r="S27" s="16" t="str">
        <f t="shared" si="0"/>
        <v>Under 25</v>
      </c>
    </row>
    <row r="28" spans="1:19" x14ac:dyDescent="0.35">
      <c r="A28" s="2">
        <v>44552</v>
      </c>
      <c r="B28" s="2" t="str">
        <f>TEXT(Bike_Sales[[#This Row],[Date]],"mmmm")</f>
        <v>December</v>
      </c>
      <c r="C28" s="19">
        <f>MONTH(Bike_Sales[[#This Row],[Date]])</f>
        <v>12</v>
      </c>
      <c r="D28" s="2" t="str">
        <f>TEXT(Bike_Sales[[#This Row],[Date]],"dddd")</f>
        <v>Wednesday</v>
      </c>
      <c r="E28" s="3">
        <v>18</v>
      </c>
      <c r="F28" s="3" t="s">
        <v>126</v>
      </c>
      <c r="G28" s="3" t="s">
        <v>9</v>
      </c>
      <c r="H28" s="3" t="s">
        <v>10</v>
      </c>
      <c r="I28" s="3" t="s">
        <v>11</v>
      </c>
      <c r="J28" s="3" t="s">
        <v>104</v>
      </c>
      <c r="K28" s="3" t="s">
        <v>12</v>
      </c>
      <c r="L28" s="4">
        <v>1</v>
      </c>
      <c r="M28" s="3">
        <v>500</v>
      </c>
      <c r="N28" s="3">
        <v>800</v>
      </c>
      <c r="O28" s="15">
        <f>Bike_Sales[[#This Row],[Order_Quantity]]*Bike_Sales[[#This Row],[Unit_Price]]</f>
        <v>800</v>
      </c>
      <c r="P28" s="15">
        <f>Bike_Sales[[#This Row],[Order_Quantity]]*Bike_Sales[[#This Row],[Unit_Cost]]</f>
        <v>500</v>
      </c>
      <c r="Q28" s="15">
        <f>Bike_Sales[[#This Row],[Total Sales]]-Bike_Sales[[#This Row],[Total Cost]]</f>
        <v>300</v>
      </c>
      <c r="R28" s="17">
        <f>Bike_Sales[[#This Row],[Profit]]/Bike_Sales[[#This Row],[Total Sales]]</f>
        <v>0.375</v>
      </c>
      <c r="S28" s="16" t="str">
        <f t="shared" si="0"/>
        <v>Under 25</v>
      </c>
    </row>
    <row r="29" spans="1:19" x14ac:dyDescent="0.35">
      <c r="A29" s="2">
        <v>44493</v>
      </c>
      <c r="B29" s="2" t="str">
        <f>TEXT(Bike_Sales[[#This Row],[Date]],"mmmm")</f>
        <v>October</v>
      </c>
      <c r="C29" s="19">
        <f>MONTH(Bike_Sales[[#This Row],[Date]])</f>
        <v>10</v>
      </c>
      <c r="D29" s="2" t="str">
        <f>TEXT(Bike_Sales[[#This Row],[Date]],"dddd")</f>
        <v>Sunday</v>
      </c>
      <c r="E29" s="3">
        <v>19</v>
      </c>
      <c r="F29" s="3" t="s">
        <v>126</v>
      </c>
      <c r="G29" s="3" t="s">
        <v>13</v>
      </c>
      <c r="H29" s="3" t="s">
        <v>127</v>
      </c>
      <c r="I29" s="3" t="s">
        <v>11</v>
      </c>
      <c r="J29" s="3" t="s">
        <v>102</v>
      </c>
      <c r="K29" s="3" t="s">
        <v>26</v>
      </c>
      <c r="L29" s="4">
        <v>3</v>
      </c>
      <c r="M29" s="3">
        <v>900</v>
      </c>
      <c r="N29" s="3">
        <v>1400</v>
      </c>
      <c r="O29" s="15">
        <f>Bike_Sales[[#This Row],[Order_Quantity]]*Bike_Sales[[#This Row],[Unit_Price]]</f>
        <v>4200</v>
      </c>
      <c r="P29" s="15">
        <f>Bike_Sales[[#This Row],[Order_Quantity]]*Bike_Sales[[#This Row],[Unit_Cost]]</f>
        <v>2700</v>
      </c>
      <c r="Q29" s="15">
        <f>Bike_Sales[[#This Row],[Total Sales]]-Bike_Sales[[#This Row],[Total Cost]]</f>
        <v>1500</v>
      </c>
      <c r="R29" s="17">
        <f>Bike_Sales[[#This Row],[Profit]]/Bike_Sales[[#This Row],[Total Sales]]</f>
        <v>0.35714285714285715</v>
      </c>
      <c r="S29" s="16" t="str">
        <f t="shared" si="0"/>
        <v>Under 25</v>
      </c>
    </row>
    <row r="30" spans="1:19" x14ac:dyDescent="0.35">
      <c r="A30" s="2">
        <v>44502</v>
      </c>
      <c r="B30" s="2" t="str">
        <f>TEXT(Bike_Sales[[#This Row],[Date]],"mmmm")</f>
        <v>November</v>
      </c>
      <c r="C30" s="19">
        <f>MONTH(Bike_Sales[[#This Row],[Date]])</f>
        <v>11</v>
      </c>
      <c r="D30" s="2" t="str">
        <f>TEXT(Bike_Sales[[#This Row],[Date]],"dddd")</f>
        <v>Tuesday</v>
      </c>
      <c r="E30" s="3">
        <v>19</v>
      </c>
      <c r="F30" s="3" t="s">
        <v>126</v>
      </c>
      <c r="G30" s="3" t="s">
        <v>9</v>
      </c>
      <c r="H30" s="3" t="s">
        <v>10</v>
      </c>
      <c r="I30" s="3" t="s">
        <v>16</v>
      </c>
      <c r="J30" s="3" t="s">
        <v>103</v>
      </c>
      <c r="K30" s="3" t="s">
        <v>83</v>
      </c>
      <c r="L30" s="4">
        <v>4</v>
      </c>
      <c r="M30" s="3">
        <v>450</v>
      </c>
      <c r="N30" s="3">
        <v>720</v>
      </c>
      <c r="O30" s="15">
        <f>Bike_Sales[[#This Row],[Order_Quantity]]*Bike_Sales[[#This Row],[Unit_Price]]</f>
        <v>2880</v>
      </c>
      <c r="P30" s="15">
        <f>Bike_Sales[[#This Row],[Order_Quantity]]*Bike_Sales[[#This Row],[Unit_Cost]]</f>
        <v>1800</v>
      </c>
      <c r="Q30" s="15">
        <f>Bike_Sales[[#This Row],[Total Sales]]-Bike_Sales[[#This Row],[Total Cost]]</f>
        <v>1080</v>
      </c>
      <c r="R30" s="17">
        <f>Bike_Sales[[#This Row],[Profit]]/Bike_Sales[[#This Row],[Total Sales]]</f>
        <v>0.375</v>
      </c>
      <c r="S30" s="16" t="str">
        <f t="shared" si="0"/>
        <v>Under 25</v>
      </c>
    </row>
    <row r="31" spans="1:19" x14ac:dyDescent="0.35">
      <c r="A31" s="2">
        <v>44506</v>
      </c>
      <c r="B31" s="2" t="str">
        <f>TEXT(Bike_Sales[[#This Row],[Date]],"mmmm")</f>
        <v>November</v>
      </c>
      <c r="C31" s="19">
        <f>MONTH(Bike_Sales[[#This Row],[Date]])</f>
        <v>11</v>
      </c>
      <c r="D31" s="2" t="str">
        <f>TEXT(Bike_Sales[[#This Row],[Date]],"dddd")</f>
        <v>Saturday</v>
      </c>
      <c r="E31" s="3">
        <v>19</v>
      </c>
      <c r="F31" s="3" t="s">
        <v>135</v>
      </c>
      <c r="G31" s="3" t="s">
        <v>18</v>
      </c>
      <c r="H31" s="3" t="s">
        <v>19</v>
      </c>
      <c r="I31" s="3" t="s">
        <v>11</v>
      </c>
      <c r="J31" s="3" t="s">
        <v>101</v>
      </c>
      <c r="K31" s="3" t="s">
        <v>44</v>
      </c>
      <c r="L31" s="4">
        <v>1</v>
      </c>
      <c r="M31" s="3">
        <v>700</v>
      </c>
      <c r="N31" s="3">
        <v>1100</v>
      </c>
      <c r="O31" s="15">
        <f>Bike_Sales[[#This Row],[Order_Quantity]]*Bike_Sales[[#This Row],[Unit_Price]]</f>
        <v>1100</v>
      </c>
      <c r="P31" s="15">
        <f>Bike_Sales[[#This Row],[Order_Quantity]]*Bike_Sales[[#This Row],[Unit_Cost]]</f>
        <v>700</v>
      </c>
      <c r="Q31" s="15">
        <f>Bike_Sales[[#This Row],[Total Sales]]-Bike_Sales[[#This Row],[Total Cost]]</f>
        <v>400</v>
      </c>
      <c r="R31" s="17">
        <f>Bike_Sales[[#This Row],[Profit]]/Bike_Sales[[#This Row],[Total Sales]]</f>
        <v>0.36363636363636365</v>
      </c>
      <c r="S31" s="16" t="str">
        <f t="shared" si="0"/>
        <v>Under 25</v>
      </c>
    </row>
    <row r="32" spans="1:19" x14ac:dyDescent="0.35">
      <c r="A32" s="2">
        <v>44514</v>
      </c>
      <c r="B32" s="2" t="str">
        <f>TEXT(Bike_Sales[[#This Row],[Date]],"mmmm")</f>
        <v>November</v>
      </c>
      <c r="C32" s="19">
        <f>MONTH(Bike_Sales[[#This Row],[Date]])</f>
        <v>11</v>
      </c>
      <c r="D32" s="2" t="str">
        <f>TEXT(Bike_Sales[[#This Row],[Date]],"dddd")</f>
        <v>Sunday</v>
      </c>
      <c r="E32" s="3">
        <v>19</v>
      </c>
      <c r="F32" s="3" t="s">
        <v>135</v>
      </c>
      <c r="G32" s="3" t="s">
        <v>33</v>
      </c>
      <c r="H32" s="3" t="s">
        <v>136</v>
      </c>
      <c r="I32" s="3" t="s">
        <v>11</v>
      </c>
      <c r="J32" s="3" t="s">
        <v>101</v>
      </c>
      <c r="K32" s="3" t="s">
        <v>41</v>
      </c>
      <c r="L32" s="4">
        <v>3</v>
      </c>
      <c r="M32" s="3">
        <v>580</v>
      </c>
      <c r="N32" s="3">
        <v>920</v>
      </c>
      <c r="O32" s="15">
        <f>Bike_Sales[[#This Row],[Order_Quantity]]*Bike_Sales[[#This Row],[Unit_Price]]</f>
        <v>2760</v>
      </c>
      <c r="P32" s="15">
        <f>Bike_Sales[[#This Row],[Order_Quantity]]*Bike_Sales[[#This Row],[Unit_Cost]]</f>
        <v>1740</v>
      </c>
      <c r="Q32" s="15">
        <f>Bike_Sales[[#This Row],[Total Sales]]-Bike_Sales[[#This Row],[Total Cost]]</f>
        <v>1020</v>
      </c>
      <c r="R32" s="17">
        <f>Bike_Sales[[#This Row],[Profit]]/Bike_Sales[[#This Row],[Total Sales]]</f>
        <v>0.36956521739130432</v>
      </c>
      <c r="S32" s="16" t="str">
        <f t="shared" si="0"/>
        <v>Under 25</v>
      </c>
    </row>
    <row r="33" spans="1:19" x14ac:dyDescent="0.35">
      <c r="A33" s="2">
        <v>44515</v>
      </c>
      <c r="B33" s="2" t="str">
        <f>TEXT(Bike_Sales[[#This Row],[Date]],"mmmm")</f>
        <v>November</v>
      </c>
      <c r="C33" s="19">
        <f>MONTH(Bike_Sales[[#This Row],[Date]])</f>
        <v>11</v>
      </c>
      <c r="D33" s="2" t="str">
        <f>TEXT(Bike_Sales[[#This Row],[Date]],"dddd")</f>
        <v>Monday</v>
      </c>
      <c r="E33" s="3">
        <v>19</v>
      </c>
      <c r="F33" s="3" t="s">
        <v>135</v>
      </c>
      <c r="G33" s="3" t="s">
        <v>9</v>
      </c>
      <c r="H33" s="3" t="s">
        <v>10</v>
      </c>
      <c r="I33" s="3" t="s">
        <v>16</v>
      </c>
      <c r="J33" s="3" t="s">
        <v>101</v>
      </c>
      <c r="K33" s="3" t="s">
        <v>49</v>
      </c>
      <c r="L33" s="4">
        <v>1</v>
      </c>
      <c r="M33" s="3">
        <v>550</v>
      </c>
      <c r="N33" s="3">
        <v>850</v>
      </c>
      <c r="O33" s="15">
        <f>Bike_Sales[[#This Row],[Order_Quantity]]*Bike_Sales[[#This Row],[Unit_Price]]</f>
        <v>850</v>
      </c>
      <c r="P33" s="15">
        <f>Bike_Sales[[#This Row],[Order_Quantity]]*Bike_Sales[[#This Row],[Unit_Cost]]</f>
        <v>550</v>
      </c>
      <c r="Q33" s="15">
        <f>Bike_Sales[[#This Row],[Total Sales]]-Bike_Sales[[#This Row],[Total Cost]]</f>
        <v>300</v>
      </c>
      <c r="R33" s="17">
        <f>Bike_Sales[[#This Row],[Profit]]/Bike_Sales[[#This Row],[Total Sales]]</f>
        <v>0.35294117647058826</v>
      </c>
      <c r="S33" s="16" t="str">
        <f t="shared" si="0"/>
        <v>Under 25</v>
      </c>
    </row>
    <row r="34" spans="1:19" x14ac:dyDescent="0.35">
      <c r="A34" s="2">
        <v>44525</v>
      </c>
      <c r="B34" s="2" t="str">
        <f>TEXT(Bike_Sales[[#This Row],[Date]],"mmmm")</f>
        <v>November</v>
      </c>
      <c r="C34" s="19">
        <f>MONTH(Bike_Sales[[#This Row],[Date]])</f>
        <v>11</v>
      </c>
      <c r="D34" s="2" t="str">
        <f>TEXT(Bike_Sales[[#This Row],[Date]],"dddd")</f>
        <v>Thursday</v>
      </c>
      <c r="E34" s="3">
        <v>19</v>
      </c>
      <c r="F34" s="3" t="s">
        <v>135</v>
      </c>
      <c r="G34" s="3" t="s">
        <v>18</v>
      </c>
      <c r="H34" s="3" t="s">
        <v>24</v>
      </c>
      <c r="I34" s="3" t="s">
        <v>11</v>
      </c>
      <c r="J34" s="3" t="s">
        <v>102</v>
      </c>
      <c r="K34" s="3" t="s">
        <v>43</v>
      </c>
      <c r="L34" s="4">
        <v>2</v>
      </c>
      <c r="M34" s="3">
        <v>900</v>
      </c>
      <c r="N34" s="3">
        <v>1400</v>
      </c>
      <c r="O34" s="15">
        <f>Bike_Sales[[#This Row],[Order_Quantity]]*Bike_Sales[[#This Row],[Unit_Price]]</f>
        <v>2800</v>
      </c>
      <c r="P34" s="15">
        <f>Bike_Sales[[#This Row],[Order_Quantity]]*Bike_Sales[[#This Row],[Unit_Cost]]</f>
        <v>1800</v>
      </c>
      <c r="Q34" s="15">
        <f>Bike_Sales[[#This Row],[Total Sales]]-Bike_Sales[[#This Row],[Total Cost]]</f>
        <v>1000</v>
      </c>
      <c r="R34" s="17">
        <f>Bike_Sales[[#This Row],[Profit]]/Bike_Sales[[#This Row],[Total Sales]]</f>
        <v>0.35714285714285715</v>
      </c>
      <c r="S34" s="16" t="str">
        <f t="shared" si="0"/>
        <v>Under 25</v>
      </c>
    </row>
    <row r="35" spans="1:19" x14ac:dyDescent="0.35">
      <c r="A35" s="2">
        <v>44537</v>
      </c>
      <c r="B35" s="2" t="str">
        <f>TEXT(Bike_Sales[[#This Row],[Date]],"mmmm")</f>
        <v>December</v>
      </c>
      <c r="C35" s="19">
        <f>MONTH(Bike_Sales[[#This Row],[Date]])</f>
        <v>12</v>
      </c>
      <c r="D35" s="2" t="str">
        <f>TEXT(Bike_Sales[[#This Row],[Date]],"dddd")</f>
        <v>Tuesday</v>
      </c>
      <c r="E35" s="3">
        <v>19</v>
      </c>
      <c r="F35" s="3" t="s">
        <v>126</v>
      </c>
      <c r="G35" s="3" t="s">
        <v>9</v>
      </c>
      <c r="H35" s="3" t="s">
        <v>10</v>
      </c>
      <c r="I35" s="3" t="s">
        <v>11</v>
      </c>
      <c r="J35" s="3" t="s">
        <v>104</v>
      </c>
      <c r="K35" s="3" t="s">
        <v>68</v>
      </c>
      <c r="L35" s="4">
        <v>1</v>
      </c>
      <c r="M35" s="3">
        <v>500</v>
      </c>
      <c r="N35" s="3">
        <v>800</v>
      </c>
      <c r="O35" s="15">
        <f>Bike_Sales[[#This Row],[Order_Quantity]]*Bike_Sales[[#This Row],[Unit_Price]]</f>
        <v>800</v>
      </c>
      <c r="P35" s="15">
        <f>Bike_Sales[[#This Row],[Order_Quantity]]*Bike_Sales[[#This Row],[Unit_Cost]]</f>
        <v>500</v>
      </c>
      <c r="Q35" s="15">
        <f>Bike_Sales[[#This Row],[Total Sales]]-Bike_Sales[[#This Row],[Total Cost]]</f>
        <v>300</v>
      </c>
      <c r="R35" s="17">
        <f>Bike_Sales[[#This Row],[Profit]]/Bike_Sales[[#This Row],[Total Sales]]</f>
        <v>0.375</v>
      </c>
      <c r="S35" s="16" t="str">
        <f t="shared" si="0"/>
        <v>Under 25</v>
      </c>
    </row>
    <row r="36" spans="1:19" x14ac:dyDescent="0.35">
      <c r="A36" s="2">
        <v>44538</v>
      </c>
      <c r="B36" s="2" t="str">
        <f>TEXT(Bike_Sales[[#This Row],[Date]],"mmmm")</f>
        <v>December</v>
      </c>
      <c r="C36" s="19">
        <f>MONTH(Bike_Sales[[#This Row],[Date]])</f>
        <v>12</v>
      </c>
      <c r="D36" s="2" t="str">
        <f>TEXT(Bike_Sales[[#This Row],[Date]],"dddd")</f>
        <v>Wednesday</v>
      </c>
      <c r="E36" s="3">
        <v>19</v>
      </c>
      <c r="F36" s="3" t="s">
        <v>135</v>
      </c>
      <c r="G36" s="3" t="s">
        <v>18</v>
      </c>
      <c r="H36" s="3" t="s">
        <v>24</v>
      </c>
      <c r="I36" s="3" t="s">
        <v>16</v>
      </c>
      <c r="J36" s="3" t="s">
        <v>103</v>
      </c>
      <c r="K36" s="3" t="s">
        <v>58</v>
      </c>
      <c r="L36" s="4">
        <v>4</v>
      </c>
      <c r="M36" s="3">
        <v>480</v>
      </c>
      <c r="N36" s="3">
        <v>760</v>
      </c>
      <c r="O36" s="15">
        <f>Bike_Sales[[#This Row],[Order_Quantity]]*Bike_Sales[[#This Row],[Unit_Price]]</f>
        <v>3040</v>
      </c>
      <c r="P36" s="15">
        <f>Bike_Sales[[#This Row],[Order_Quantity]]*Bike_Sales[[#This Row],[Unit_Cost]]</f>
        <v>1920</v>
      </c>
      <c r="Q36" s="15">
        <f>Bike_Sales[[#This Row],[Total Sales]]-Bike_Sales[[#This Row],[Total Cost]]</f>
        <v>1120</v>
      </c>
      <c r="R36" s="17">
        <f>Bike_Sales[[#This Row],[Profit]]/Bike_Sales[[#This Row],[Total Sales]]</f>
        <v>0.36842105263157893</v>
      </c>
      <c r="S36" s="16" t="str">
        <f t="shared" si="0"/>
        <v>Under 25</v>
      </c>
    </row>
    <row r="37" spans="1:19" x14ac:dyDescent="0.35">
      <c r="A37" s="2">
        <v>44549</v>
      </c>
      <c r="B37" s="2" t="str">
        <f>TEXT(Bike_Sales[[#This Row],[Date]],"mmmm")</f>
        <v>December</v>
      </c>
      <c r="C37" s="19">
        <f>MONTH(Bike_Sales[[#This Row],[Date]])</f>
        <v>12</v>
      </c>
      <c r="D37" s="2" t="str">
        <f>TEXT(Bike_Sales[[#This Row],[Date]],"dddd")</f>
        <v>Sunday</v>
      </c>
      <c r="E37" s="3">
        <v>19</v>
      </c>
      <c r="F37" s="3" t="s">
        <v>135</v>
      </c>
      <c r="G37" s="3" t="s">
        <v>18</v>
      </c>
      <c r="H37" s="3" t="s">
        <v>35</v>
      </c>
      <c r="I37" s="3" t="s">
        <v>16</v>
      </c>
      <c r="J37" s="3" t="s">
        <v>101</v>
      </c>
      <c r="K37" s="3" t="s">
        <v>30</v>
      </c>
      <c r="L37" s="4">
        <v>4</v>
      </c>
      <c r="M37" s="3">
        <v>480</v>
      </c>
      <c r="N37" s="3">
        <v>760</v>
      </c>
      <c r="O37" s="15">
        <f>Bike_Sales[[#This Row],[Order_Quantity]]*Bike_Sales[[#This Row],[Unit_Price]]</f>
        <v>3040</v>
      </c>
      <c r="P37" s="15">
        <f>Bike_Sales[[#This Row],[Order_Quantity]]*Bike_Sales[[#This Row],[Unit_Cost]]</f>
        <v>1920</v>
      </c>
      <c r="Q37" s="15">
        <f>Bike_Sales[[#This Row],[Total Sales]]-Bike_Sales[[#This Row],[Total Cost]]</f>
        <v>1120</v>
      </c>
      <c r="R37" s="17">
        <f>Bike_Sales[[#This Row],[Profit]]/Bike_Sales[[#This Row],[Total Sales]]</f>
        <v>0.36842105263157893</v>
      </c>
      <c r="S37" s="16" t="str">
        <f t="shared" si="0"/>
        <v>Under 25</v>
      </c>
    </row>
    <row r="38" spans="1:19" x14ac:dyDescent="0.35">
      <c r="A38" s="2">
        <v>44552</v>
      </c>
      <c r="B38" s="2" t="str">
        <f>TEXT(Bike_Sales[[#This Row],[Date]],"mmmm")</f>
        <v>December</v>
      </c>
      <c r="C38" s="19">
        <f>MONTH(Bike_Sales[[#This Row],[Date]])</f>
        <v>12</v>
      </c>
      <c r="D38" s="2" t="str">
        <f>TEXT(Bike_Sales[[#This Row],[Date]],"dddd")</f>
        <v>Wednesday</v>
      </c>
      <c r="E38" s="3">
        <v>19</v>
      </c>
      <c r="F38" s="3" t="s">
        <v>135</v>
      </c>
      <c r="G38" s="3" t="s">
        <v>18</v>
      </c>
      <c r="H38" s="3" t="s">
        <v>24</v>
      </c>
      <c r="I38" s="3" t="s">
        <v>16</v>
      </c>
      <c r="J38" s="3" t="s">
        <v>103</v>
      </c>
      <c r="K38" s="3" t="s">
        <v>58</v>
      </c>
      <c r="L38" s="4">
        <v>1</v>
      </c>
      <c r="M38" s="3">
        <v>480</v>
      </c>
      <c r="N38" s="3">
        <v>760</v>
      </c>
      <c r="O38" s="15">
        <f>Bike_Sales[[#This Row],[Order_Quantity]]*Bike_Sales[[#This Row],[Unit_Price]]</f>
        <v>760</v>
      </c>
      <c r="P38" s="15">
        <f>Bike_Sales[[#This Row],[Order_Quantity]]*Bike_Sales[[#This Row],[Unit_Cost]]</f>
        <v>480</v>
      </c>
      <c r="Q38" s="15">
        <f>Bike_Sales[[#This Row],[Total Sales]]-Bike_Sales[[#This Row],[Total Cost]]</f>
        <v>280</v>
      </c>
      <c r="R38" s="17">
        <f>Bike_Sales[[#This Row],[Profit]]/Bike_Sales[[#This Row],[Total Sales]]</f>
        <v>0.36842105263157893</v>
      </c>
      <c r="S38" s="16" t="str">
        <f t="shared" si="0"/>
        <v>Under 25</v>
      </c>
    </row>
    <row r="39" spans="1:19" x14ac:dyDescent="0.35">
      <c r="A39" s="2">
        <v>44553</v>
      </c>
      <c r="B39" s="2" t="str">
        <f>TEXT(Bike_Sales[[#This Row],[Date]],"mmmm")</f>
        <v>December</v>
      </c>
      <c r="C39" s="19">
        <f>MONTH(Bike_Sales[[#This Row],[Date]])</f>
        <v>12</v>
      </c>
      <c r="D39" s="2" t="str">
        <f>TEXT(Bike_Sales[[#This Row],[Date]],"dddd")</f>
        <v>Thursday</v>
      </c>
      <c r="E39" s="3">
        <v>19</v>
      </c>
      <c r="F39" s="3" t="s">
        <v>126</v>
      </c>
      <c r="G39" s="3" t="s">
        <v>9</v>
      </c>
      <c r="H39" s="3" t="s">
        <v>10</v>
      </c>
      <c r="I39" s="3" t="s">
        <v>11</v>
      </c>
      <c r="J39" s="3" t="s">
        <v>104</v>
      </c>
      <c r="K39" s="3" t="s">
        <v>68</v>
      </c>
      <c r="L39" s="4">
        <v>1</v>
      </c>
      <c r="M39" s="3">
        <v>500</v>
      </c>
      <c r="N39" s="3">
        <v>800</v>
      </c>
      <c r="O39" s="15">
        <f>Bike_Sales[[#This Row],[Order_Quantity]]*Bike_Sales[[#This Row],[Unit_Price]]</f>
        <v>800</v>
      </c>
      <c r="P39" s="15">
        <f>Bike_Sales[[#This Row],[Order_Quantity]]*Bike_Sales[[#This Row],[Unit_Cost]]</f>
        <v>500</v>
      </c>
      <c r="Q39" s="15">
        <f>Bike_Sales[[#This Row],[Total Sales]]-Bike_Sales[[#This Row],[Total Cost]]</f>
        <v>300</v>
      </c>
      <c r="R39" s="17">
        <f>Bike_Sales[[#This Row],[Profit]]/Bike_Sales[[#This Row],[Total Sales]]</f>
        <v>0.375</v>
      </c>
      <c r="S39" s="16" t="str">
        <f t="shared" si="0"/>
        <v>Under 25</v>
      </c>
    </row>
    <row r="40" spans="1:19" x14ac:dyDescent="0.35">
      <c r="A40" s="2">
        <v>44554</v>
      </c>
      <c r="B40" s="2" t="str">
        <f>TEXT(Bike_Sales[[#This Row],[Date]],"mmmm")</f>
        <v>December</v>
      </c>
      <c r="C40" s="19">
        <f>MONTH(Bike_Sales[[#This Row],[Date]])</f>
        <v>12</v>
      </c>
      <c r="D40" s="2" t="str">
        <f>TEXT(Bike_Sales[[#This Row],[Date]],"dddd")</f>
        <v>Friday</v>
      </c>
      <c r="E40" s="3">
        <v>19</v>
      </c>
      <c r="F40" s="3" t="s">
        <v>135</v>
      </c>
      <c r="G40" s="3" t="s">
        <v>18</v>
      </c>
      <c r="H40" s="3" t="s">
        <v>21</v>
      </c>
      <c r="I40" s="3" t="s">
        <v>16</v>
      </c>
      <c r="J40" s="3" t="s">
        <v>103</v>
      </c>
      <c r="K40" s="3" t="s">
        <v>22</v>
      </c>
      <c r="L40" s="4">
        <v>2</v>
      </c>
      <c r="M40" s="3">
        <v>550</v>
      </c>
      <c r="N40" s="3">
        <v>850</v>
      </c>
      <c r="O40" s="15">
        <f>Bike_Sales[[#This Row],[Order_Quantity]]*Bike_Sales[[#This Row],[Unit_Price]]</f>
        <v>1700</v>
      </c>
      <c r="P40" s="15">
        <f>Bike_Sales[[#This Row],[Order_Quantity]]*Bike_Sales[[#This Row],[Unit_Cost]]</f>
        <v>1100</v>
      </c>
      <c r="Q40" s="15">
        <f>Bike_Sales[[#This Row],[Total Sales]]-Bike_Sales[[#This Row],[Total Cost]]</f>
        <v>600</v>
      </c>
      <c r="R40" s="17">
        <f>Bike_Sales[[#This Row],[Profit]]/Bike_Sales[[#This Row],[Total Sales]]</f>
        <v>0.35294117647058826</v>
      </c>
      <c r="S40" s="16" t="str">
        <f t="shared" si="0"/>
        <v>Under 25</v>
      </c>
    </row>
    <row r="41" spans="1:19" x14ac:dyDescent="0.35">
      <c r="A41" s="2">
        <v>44558</v>
      </c>
      <c r="B41" s="2" t="str">
        <f>TEXT(Bike_Sales[[#This Row],[Date]],"mmmm")</f>
        <v>December</v>
      </c>
      <c r="C41" s="19">
        <f>MONTH(Bike_Sales[[#This Row],[Date]])</f>
        <v>12</v>
      </c>
      <c r="D41" s="2" t="str">
        <f>TEXT(Bike_Sales[[#This Row],[Date]],"dddd")</f>
        <v>Tuesday</v>
      </c>
      <c r="E41" s="3">
        <v>19</v>
      </c>
      <c r="F41" s="3" t="s">
        <v>126</v>
      </c>
      <c r="G41" s="3" t="s">
        <v>18</v>
      </c>
      <c r="H41" s="3" t="s">
        <v>35</v>
      </c>
      <c r="I41" s="3" t="s">
        <v>16</v>
      </c>
      <c r="J41" s="3" t="s">
        <v>103</v>
      </c>
      <c r="K41" s="3" t="s">
        <v>71</v>
      </c>
      <c r="L41" s="4">
        <v>3</v>
      </c>
      <c r="M41" s="3">
        <v>480</v>
      </c>
      <c r="N41" s="3">
        <v>760</v>
      </c>
      <c r="O41" s="15">
        <f>Bike_Sales[[#This Row],[Order_Quantity]]*Bike_Sales[[#This Row],[Unit_Price]]</f>
        <v>2280</v>
      </c>
      <c r="P41" s="15">
        <f>Bike_Sales[[#This Row],[Order_Quantity]]*Bike_Sales[[#This Row],[Unit_Cost]]</f>
        <v>1440</v>
      </c>
      <c r="Q41" s="15">
        <f>Bike_Sales[[#This Row],[Total Sales]]-Bike_Sales[[#This Row],[Total Cost]]</f>
        <v>840</v>
      </c>
      <c r="R41" s="17">
        <f>Bike_Sales[[#This Row],[Profit]]/Bike_Sales[[#This Row],[Total Sales]]</f>
        <v>0.36842105263157893</v>
      </c>
      <c r="S41" s="16" t="str">
        <f t="shared" si="0"/>
        <v>Under 25</v>
      </c>
    </row>
    <row r="42" spans="1:19" x14ac:dyDescent="0.35">
      <c r="A42" s="2">
        <v>44501</v>
      </c>
      <c r="B42" s="2" t="str">
        <f>TEXT(Bike_Sales[[#This Row],[Date]],"mmmm")</f>
        <v>November</v>
      </c>
      <c r="C42" s="19">
        <f>MONTH(Bike_Sales[[#This Row],[Date]])</f>
        <v>11</v>
      </c>
      <c r="D42" s="2" t="str">
        <f>TEXT(Bike_Sales[[#This Row],[Date]],"dddd")</f>
        <v>Monday</v>
      </c>
      <c r="E42" s="3">
        <v>20</v>
      </c>
      <c r="F42" s="3" t="s">
        <v>126</v>
      </c>
      <c r="G42" s="3" t="s">
        <v>18</v>
      </c>
      <c r="H42" s="3" t="s">
        <v>35</v>
      </c>
      <c r="I42" s="3" t="s">
        <v>11</v>
      </c>
      <c r="J42" s="3" t="s">
        <v>101</v>
      </c>
      <c r="K42" s="3" t="s">
        <v>67</v>
      </c>
      <c r="L42" s="4">
        <v>1</v>
      </c>
      <c r="M42" s="3">
        <v>700</v>
      </c>
      <c r="N42" s="3">
        <v>1100</v>
      </c>
      <c r="O42" s="15">
        <f>Bike_Sales[[#This Row],[Order_Quantity]]*Bike_Sales[[#This Row],[Unit_Price]]</f>
        <v>1100</v>
      </c>
      <c r="P42" s="15">
        <f>Bike_Sales[[#This Row],[Order_Quantity]]*Bike_Sales[[#This Row],[Unit_Cost]]</f>
        <v>700</v>
      </c>
      <c r="Q42" s="15">
        <f>Bike_Sales[[#This Row],[Total Sales]]-Bike_Sales[[#This Row],[Total Cost]]</f>
        <v>400</v>
      </c>
      <c r="R42" s="17">
        <f>Bike_Sales[[#This Row],[Profit]]/Bike_Sales[[#This Row],[Total Sales]]</f>
        <v>0.36363636363636365</v>
      </c>
      <c r="S42" s="16" t="str">
        <f t="shared" si="0"/>
        <v>Under 25</v>
      </c>
    </row>
    <row r="43" spans="1:19" x14ac:dyDescent="0.35">
      <c r="A43" s="2">
        <v>44510</v>
      </c>
      <c r="B43" s="2" t="str">
        <f>TEXT(Bike_Sales[[#This Row],[Date]],"mmmm")</f>
        <v>November</v>
      </c>
      <c r="C43" s="19">
        <f>MONTH(Bike_Sales[[#This Row],[Date]])</f>
        <v>11</v>
      </c>
      <c r="D43" s="2" t="str">
        <f>TEXT(Bike_Sales[[#This Row],[Date]],"dddd")</f>
        <v>Wednesday</v>
      </c>
      <c r="E43" s="3">
        <v>20</v>
      </c>
      <c r="F43" s="3" t="s">
        <v>126</v>
      </c>
      <c r="G43" s="3" t="s">
        <v>18</v>
      </c>
      <c r="H43" s="3" t="s">
        <v>35</v>
      </c>
      <c r="I43" s="3" t="s">
        <v>11</v>
      </c>
      <c r="J43" s="3" t="s">
        <v>101</v>
      </c>
      <c r="K43" s="3" t="s">
        <v>67</v>
      </c>
      <c r="L43" s="4">
        <v>1</v>
      </c>
      <c r="M43" s="3">
        <v>700</v>
      </c>
      <c r="N43" s="3">
        <v>1100</v>
      </c>
      <c r="O43" s="15">
        <f>Bike_Sales[[#This Row],[Order_Quantity]]*Bike_Sales[[#This Row],[Unit_Price]]</f>
        <v>1100</v>
      </c>
      <c r="P43" s="15">
        <f>Bike_Sales[[#This Row],[Order_Quantity]]*Bike_Sales[[#This Row],[Unit_Cost]]</f>
        <v>700</v>
      </c>
      <c r="Q43" s="15">
        <f>Bike_Sales[[#This Row],[Total Sales]]-Bike_Sales[[#This Row],[Total Cost]]</f>
        <v>400</v>
      </c>
      <c r="R43" s="17">
        <f>Bike_Sales[[#This Row],[Profit]]/Bike_Sales[[#This Row],[Total Sales]]</f>
        <v>0.36363636363636365</v>
      </c>
      <c r="S43" s="16" t="str">
        <f t="shared" si="0"/>
        <v>Under 25</v>
      </c>
    </row>
    <row r="44" spans="1:19" x14ac:dyDescent="0.35">
      <c r="A44" s="2">
        <v>44516</v>
      </c>
      <c r="B44" s="2" t="str">
        <f>TEXT(Bike_Sales[[#This Row],[Date]],"mmmm")</f>
        <v>November</v>
      </c>
      <c r="C44" s="19">
        <f>MONTH(Bike_Sales[[#This Row],[Date]])</f>
        <v>11</v>
      </c>
      <c r="D44" s="2" t="str">
        <f>TEXT(Bike_Sales[[#This Row],[Date]],"dddd")</f>
        <v>Tuesday</v>
      </c>
      <c r="E44" s="3">
        <v>20</v>
      </c>
      <c r="F44" s="3" t="s">
        <v>135</v>
      </c>
      <c r="G44" s="3" t="s">
        <v>33</v>
      </c>
      <c r="H44" s="3" t="s">
        <v>56</v>
      </c>
      <c r="I44" s="3" t="s">
        <v>11</v>
      </c>
      <c r="J44" s="3" t="s">
        <v>104</v>
      </c>
      <c r="K44" s="3" t="s">
        <v>52</v>
      </c>
      <c r="L44" s="4">
        <v>2</v>
      </c>
      <c r="M44" s="3">
        <v>530</v>
      </c>
      <c r="N44" s="3">
        <v>840</v>
      </c>
      <c r="O44" s="15">
        <f>Bike_Sales[[#This Row],[Order_Quantity]]*Bike_Sales[[#This Row],[Unit_Price]]</f>
        <v>1680</v>
      </c>
      <c r="P44" s="15">
        <f>Bike_Sales[[#This Row],[Order_Quantity]]*Bike_Sales[[#This Row],[Unit_Cost]]</f>
        <v>1060</v>
      </c>
      <c r="Q44" s="15">
        <f>Bike_Sales[[#This Row],[Total Sales]]-Bike_Sales[[#This Row],[Total Cost]]</f>
        <v>620</v>
      </c>
      <c r="R44" s="17">
        <f>Bike_Sales[[#This Row],[Profit]]/Bike_Sales[[#This Row],[Total Sales]]</f>
        <v>0.36904761904761907</v>
      </c>
      <c r="S44" s="16" t="str">
        <f t="shared" si="0"/>
        <v>Under 25</v>
      </c>
    </row>
    <row r="45" spans="1:19" x14ac:dyDescent="0.35">
      <c r="A45" s="2">
        <v>44516</v>
      </c>
      <c r="B45" s="2" t="str">
        <f>TEXT(Bike_Sales[[#This Row],[Date]],"mmmm")</f>
        <v>November</v>
      </c>
      <c r="C45" s="19">
        <f>MONTH(Bike_Sales[[#This Row],[Date]])</f>
        <v>11</v>
      </c>
      <c r="D45" s="2" t="str">
        <f>TEXT(Bike_Sales[[#This Row],[Date]],"dddd")</f>
        <v>Tuesday</v>
      </c>
      <c r="E45" s="3">
        <v>20</v>
      </c>
      <c r="F45" s="3" t="s">
        <v>126</v>
      </c>
      <c r="G45" s="3" t="s">
        <v>18</v>
      </c>
      <c r="H45" s="3" t="s">
        <v>19</v>
      </c>
      <c r="I45" s="3" t="s">
        <v>11</v>
      </c>
      <c r="J45" s="3" t="s">
        <v>101</v>
      </c>
      <c r="K45" s="3" t="s">
        <v>67</v>
      </c>
      <c r="L45" s="4">
        <v>1</v>
      </c>
      <c r="M45" s="3">
        <v>700</v>
      </c>
      <c r="N45" s="3">
        <v>1100</v>
      </c>
      <c r="O45" s="15">
        <f>Bike_Sales[[#This Row],[Order_Quantity]]*Bike_Sales[[#This Row],[Unit_Price]]</f>
        <v>1100</v>
      </c>
      <c r="P45" s="15">
        <f>Bike_Sales[[#This Row],[Order_Quantity]]*Bike_Sales[[#This Row],[Unit_Cost]]</f>
        <v>700</v>
      </c>
      <c r="Q45" s="15">
        <f>Bike_Sales[[#This Row],[Total Sales]]-Bike_Sales[[#This Row],[Total Cost]]</f>
        <v>400</v>
      </c>
      <c r="R45" s="17">
        <f>Bike_Sales[[#This Row],[Profit]]/Bike_Sales[[#This Row],[Total Sales]]</f>
        <v>0.36363636363636365</v>
      </c>
      <c r="S45" s="16" t="str">
        <f t="shared" si="0"/>
        <v>Under 25</v>
      </c>
    </row>
    <row r="46" spans="1:19" x14ac:dyDescent="0.35">
      <c r="A46" s="2">
        <v>44528</v>
      </c>
      <c r="B46" s="2" t="str">
        <f>TEXT(Bike_Sales[[#This Row],[Date]],"mmmm")</f>
        <v>November</v>
      </c>
      <c r="C46" s="19">
        <f>MONTH(Bike_Sales[[#This Row],[Date]])</f>
        <v>11</v>
      </c>
      <c r="D46" s="2" t="str">
        <f>TEXT(Bike_Sales[[#This Row],[Date]],"dddd")</f>
        <v>Sunday</v>
      </c>
      <c r="E46" s="3">
        <v>20</v>
      </c>
      <c r="F46" s="3" t="s">
        <v>126</v>
      </c>
      <c r="G46" s="3" t="s">
        <v>18</v>
      </c>
      <c r="H46" s="3" t="s">
        <v>24</v>
      </c>
      <c r="I46" s="3" t="s">
        <v>11</v>
      </c>
      <c r="J46" s="3" t="s">
        <v>101</v>
      </c>
      <c r="K46" s="3" t="s">
        <v>44</v>
      </c>
      <c r="L46" s="4">
        <v>3</v>
      </c>
      <c r="M46" s="3">
        <v>700</v>
      </c>
      <c r="N46" s="3">
        <v>1100</v>
      </c>
      <c r="O46" s="15">
        <f>Bike_Sales[[#This Row],[Order_Quantity]]*Bike_Sales[[#This Row],[Unit_Price]]</f>
        <v>3300</v>
      </c>
      <c r="P46" s="15">
        <f>Bike_Sales[[#This Row],[Order_Quantity]]*Bike_Sales[[#This Row],[Unit_Cost]]</f>
        <v>2100</v>
      </c>
      <c r="Q46" s="15">
        <f>Bike_Sales[[#This Row],[Total Sales]]-Bike_Sales[[#This Row],[Total Cost]]</f>
        <v>1200</v>
      </c>
      <c r="R46" s="17">
        <f>Bike_Sales[[#This Row],[Profit]]/Bike_Sales[[#This Row],[Total Sales]]</f>
        <v>0.36363636363636365</v>
      </c>
      <c r="S46" s="16" t="str">
        <f t="shared" si="0"/>
        <v>Under 25</v>
      </c>
    </row>
    <row r="47" spans="1:19" x14ac:dyDescent="0.35">
      <c r="A47" s="2">
        <v>44531</v>
      </c>
      <c r="B47" s="2" t="str">
        <f>TEXT(Bike_Sales[[#This Row],[Date]],"mmmm")</f>
        <v>December</v>
      </c>
      <c r="C47" s="19">
        <f>MONTH(Bike_Sales[[#This Row],[Date]])</f>
        <v>12</v>
      </c>
      <c r="D47" s="2" t="str">
        <f>TEXT(Bike_Sales[[#This Row],[Date]],"dddd")</f>
        <v>Wednesday</v>
      </c>
      <c r="E47" s="3">
        <v>20</v>
      </c>
      <c r="F47" s="3" t="s">
        <v>126</v>
      </c>
      <c r="G47" s="3" t="s">
        <v>33</v>
      </c>
      <c r="H47" s="3" t="s">
        <v>128</v>
      </c>
      <c r="I47" s="3" t="s">
        <v>11</v>
      </c>
      <c r="J47" s="3" t="s">
        <v>102</v>
      </c>
      <c r="K47" s="3" t="s">
        <v>36</v>
      </c>
      <c r="L47" s="4">
        <v>1</v>
      </c>
      <c r="M47" s="3">
        <v>580</v>
      </c>
      <c r="N47" s="3">
        <v>920</v>
      </c>
      <c r="O47" s="15">
        <f>Bike_Sales[[#This Row],[Order_Quantity]]*Bike_Sales[[#This Row],[Unit_Price]]</f>
        <v>920</v>
      </c>
      <c r="P47" s="15">
        <f>Bike_Sales[[#This Row],[Order_Quantity]]*Bike_Sales[[#This Row],[Unit_Cost]]</f>
        <v>580</v>
      </c>
      <c r="Q47" s="15">
        <f>Bike_Sales[[#This Row],[Total Sales]]-Bike_Sales[[#This Row],[Total Cost]]</f>
        <v>340</v>
      </c>
      <c r="R47" s="17">
        <f>Bike_Sales[[#This Row],[Profit]]/Bike_Sales[[#This Row],[Total Sales]]</f>
        <v>0.36956521739130432</v>
      </c>
      <c r="S47" s="16" t="str">
        <f t="shared" si="0"/>
        <v>Under 25</v>
      </c>
    </row>
    <row r="48" spans="1:19" x14ac:dyDescent="0.35">
      <c r="A48" s="2">
        <v>44473</v>
      </c>
      <c r="B48" s="2" t="str">
        <f>TEXT(Bike_Sales[[#This Row],[Date]],"mmmm")</f>
        <v>October</v>
      </c>
      <c r="C48" s="19">
        <f>MONTH(Bike_Sales[[#This Row],[Date]])</f>
        <v>10</v>
      </c>
      <c r="D48" s="2" t="str">
        <f>TEXT(Bike_Sales[[#This Row],[Date]],"dddd")</f>
        <v>Monday</v>
      </c>
      <c r="E48" s="3">
        <v>21</v>
      </c>
      <c r="F48" s="3" t="s">
        <v>135</v>
      </c>
      <c r="G48" s="3" t="s">
        <v>9</v>
      </c>
      <c r="H48" s="3" t="s">
        <v>10</v>
      </c>
      <c r="I48" s="3" t="s">
        <v>11</v>
      </c>
      <c r="J48" s="3" t="s">
        <v>104</v>
      </c>
      <c r="K48" s="3" t="s">
        <v>12</v>
      </c>
      <c r="L48" s="4">
        <v>4</v>
      </c>
      <c r="M48" s="3">
        <v>500</v>
      </c>
      <c r="N48" s="3">
        <v>800</v>
      </c>
      <c r="O48" s="15">
        <f>Bike_Sales[[#This Row],[Order_Quantity]]*Bike_Sales[[#This Row],[Unit_Price]]</f>
        <v>3200</v>
      </c>
      <c r="P48" s="15">
        <f>Bike_Sales[[#This Row],[Order_Quantity]]*Bike_Sales[[#This Row],[Unit_Cost]]</f>
        <v>2000</v>
      </c>
      <c r="Q48" s="15">
        <f>Bike_Sales[[#This Row],[Total Sales]]-Bike_Sales[[#This Row],[Total Cost]]</f>
        <v>1200</v>
      </c>
      <c r="R48" s="17">
        <f>Bike_Sales[[#This Row],[Profit]]/Bike_Sales[[#This Row],[Total Sales]]</f>
        <v>0.375</v>
      </c>
      <c r="S48" s="16" t="str">
        <f t="shared" si="0"/>
        <v>Under 25</v>
      </c>
    </row>
    <row r="49" spans="1:19" x14ac:dyDescent="0.35">
      <c r="A49" s="2">
        <v>44477</v>
      </c>
      <c r="B49" s="2" t="str">
        <f>TEXT(Bike_Sales[[#This Row],[Date]],"mmmm")</f>
        <v>October</v>
      </c>
      <c r="C49" s="19">
        <f>MONTH(Bike_Sales[[#This Row],[Date]])</f>
        <v>10</v>
      </c>
      <c r="D49" s="2" t="str">
        <f>TEXT(Bike_Sales[[#This Row],[Date]],"dddd")</f>
        <v>Friday</v>
      </c>
      <c r="E49" s="3">
        <v>21</v>
      </c>
      <c r="F49" s="3" t="s">
        <v>126</v>
      </c>
      <c r="G49" s="3" t="s">
        <v>9</v>
      </c>
      <c r="H49" s="3" t="s">
        <v>10</v>
      </c>
      <c r="I49" s="3" t="s">
        <v>11</v>
      </c>
      <c r="J49" s="3" t="s">
        <v>101</v>
      </c>
      <c r="K49" s="3" t="s">
        <v>54</v>
      </c>
      <c r="L49" s="4">
        <v>1</v>
      </c>
      <c r="M49" s="3">
        <v>580</v>
      </c>
      <c r="N49" s="3">
        <v>920</v>
      </c>
      <c r="O49" s="15">
        <f>Bike_Sales[[#This Row],[Order_Quantity]]*Bike_Sales[[#This Row],[Unit_Price]]</f>
        <v>920</v>
      </c>
      <c r="P49" s="15">
        <f>Bike_Sales[[#This Row],[Order_Quantity]]*Bike_Sales[[#This Row],[Unit_Cost]]</f>
        <v>580</v>
      </c>
      <c r="Q49" s="15">
        <f>Bike_Sales[[#This Row],[Total Sales]]-Bike_Sales[[#This Row],[Total Cost]]</f>
        <v>340</v>
      </c>
      <c r="R49" s="17">
        <f>Bike_Sales[[#This Row],[Profit]]/Bike_Sales[[#This Row],[Total Sales]]</f>
        <v>0.36956521739130432</v>
      </c>
      <c r="S49" s="16" t="str">
        <f t="shared" si="0"/>
        <v>Under 25</v>
      </c>
    </row>
    <row r="50" spans="1:19" x14ac:dyDescent="0.35">
      <c r="A50" s="2">
        <v>44497</v>
      </c>
      <c r="B50" s="2" t="str">
        <f>TEXT(Bike_Sales[[#This Row],[Date]],"mmmm")</f>
        <v>October</v>
      </c>
      <c r="C50" s="19">
        <f>MONTH(Bike_Sales[[#This Row],[Date]])</f>
        <v>10</v>
      </c>
      <c r="D50" s="2" t="str">
        <f>TEXT(Bike_Sales[[#This Row],[Date]],"dddd")</f>
        <v>Thursday</v>
      </c>
      <c r="E50" s="3">
        <v>21</v>
      </c>
      <c r="F50" s="3" t="s">
        <v>135</v>
      </c>
      <c r="G50" s="3" t="s">
        <v>9</v>
      </c>
      <c r="H50" s="3" t="s">
        <v>10</v>
      </c>
      <c r="I50" s="3" t="s">
        <v>11</v>
      </c>
      <c r="J50" s="3" t="s">
        <v>104</v>
      </c>
      <c r="K50" s="3" t="s">
        <v>12</v>
      </c>
      <c r="L50" s="4">
        <v>1</v>
      </c>
      <c r="M50" s="3">
        <v>500</v>
      </c>
      <c r="N50" s="3">
        <v>800</v>
      </c>
      <c r="O50" s="15">
        <f>Bike_Sales[[#This Row],[Order_Quantity]]*Bike_Sales[[#This Row],[Unit_Price]]</f>
        <v>800</v>
      </c>
      <c r="P50" s="15">
        <f>Bike_Sales[[#This Row],[Order_Quantity]]*Bike_Sales[[#This Row],[Unit_Cost]]</f>
        <v>500</v>
      </c>
      <c r="Q50" s="15">
        <f>Bike_Sales[[#This Row],[Total Sales]]-Bike_Sales[[#This Row],[Total Cost]]</f>
        <v>300</v>
      </c>
      <c r="R50" s="17">
        <f>Bike_Sales[[#This Row],[Profit]]/Bike_Sales[[#This Row],[Total Sales]]</f>
        <v>0.375</v>
      </c>
      <c r="S50" s="16" t="str">
        <f t="shared" si="0"/>
        <v>Under 25</v>
      </c>
    </row>
    <row r="51" spans="1:19" x14ac:dyDescent="0.35">
      <c r="A51" s="2">
        <v>44500</v>
      </c>
      <c r="B51" s="2" t="str">
        <f>TEXT(Bike_Sales[[#This Row],[Date]],"mmmm")</f>
        <v>October</v>
      </c>
      <c r="C51" s="19">
        <f>MONTH(Bike_Sales[[#This Row],[Date]])</f>
        <v>10</v>
      </c>
      <c r="D51" s="2" t="str">
        <f>TEXT(Bike_Sales[[#This Row],[Date]],"dddd")</f>
        <v>Sunday</v>
      </c>
      <c r="E51" s="3">
        <v>21</v>
      </c>
      <c r="F51" s="3" t="s">
        <v>135</v>
      </c>
      <c r="G51" s="3" t="s">
        <v>9</v>
      </c>
      <c r="H51" s="3" t="s">
        <v>10</v>
      </c>
      <c r="I51" s="3" t="s">
        <v>11</v>
      </c>
      <c r="J51" s="3" t="s">
        <v>104</v>
      </c>
      <c r="K51" s="3" t="s">
        <v>12</v>
      </c>
      <c r="L51" s="4">
        <v>2</v>
      </c>
      <c r="M51" s="3">
        <v>500</v>
      </c>
      <c r="N51" s="3">
        <v>800</v>
      </c>
      <c r="O51" s="15">
        <f>Bike_Sales[[#This Row],[Order_Quantity]]*Bike_Sales[[#This Row],[Unit_Price]]</f>
        <v>1600</v>
      </c>
      <c r="P51" s="15">
        <f>Bike_Sales[[#This Row],[Order_Quantity]]*Bike_Sales[[#This Row],[Unit_Cost]]</f>
        <v>1000</v>
      </c>
      <c r="Q51" s="15">
        <f>Bike_Sales[[#This Row],[Total Sales]]-Bike_Sales[[#This Row],[Total Cost]]</f>
        <v>600</v>
      </c>
      <c r="R51" s="17">
        <f>Bike_Sales[[#This Row],[Profit]]/Bike_Sales[[#This Row],[Total Sales]]</f>
        <v>0.375</v>
      </c>
      <c r="S51" s="16" t="str">
        <f t="shared" si="0"/>
        <v>Under 25</v>
      </c>
    </row>
    <row r="52" spans="1:19" x14ac:dyDescent="0.35">
      <c r="A52" s="2">
        <v>44510</v>
      </c>
      <c r="B52" s="2" t="str">
        <f>TEXT(Bike_Sales[[#This Row],[Date]],"mmmm")</f>
        <v>November</v>
      </c>
      <c r="C52" s="19">
        <f>MONTH(Bike_Sales[[#This Row],[Date]])</f>
        <v>11</v>
      </c>
      <c r="D52" s="2" t="str">
        <f>TEXT(Bike_Sales[[#This Row],[Date]],"dddd")</f>
        <v>Wednesday</v>
      </c>
      <c r="E52" s="3">
        <v>21</v>
      </c>
      <c r="F52" s="3" t="s">
        <v>126</v>
      </c>
      <c r="G52" s="3" t="s">
        <v>18</v>
      </c>
      <c r="H52" s="3" t="s">
        <v>24</v>
      </c>
      <c r="I52" s="3" t="s">
        <v>11</v>
      </c>
      <c r="J52" s="3" t="s">
        <v>101</v>
      </c>
      <c r="K52" s="3" t="s">
        <v>41</v>
      </c>
      <c r="L52" s="4">
        <v>1</v>
      </c>
      <c r="M52" s="3">
        <v>580</v>
      </c>
      <c r="N52" s="3">
        <v>920</v>
      </c>
      <c r="O52" s="15">
        <f>Bike_Sales[[#This Row],[Order_Quantity]]*Bike_Sales[[#This Row],[Unit_Price]]</f>
        <v>920</v>
      </c>
      <c r="P52" s="15">
        <f>Bike_Sales[[#This Row],[Order_Quantity]]*Bike_Sales[[#This Row],[Unit_Cost]]</f>
        <v>580</v>
      </c>
      <c r="Q52" s="15">
        <f>Bike_Sales[[#This Row],[Total Sales]]-Bike_Sales[[#This Row],[Total Cost]]</f>
        <v>340</v>
      </c>
      <c r="R52" s="17">
        <f>Bike_Sales[[#This Row],[Profit]]/Bike_Sales[[#This Row],[Total Sales]]</f>
        <v>0.36956521739130432</v>
      </c>
      <c r="S52" s="16" t="str">
        <f t="shared" si="0"/>
        <v>Under 25</v>
      </c>
    </row>
    <row r="53" spans="1:19" x14ac:dyDescent="0.35">
      <c r="A53" s="2">
        <v>44517</v>
      </c>
      <c r="B53" s="2" t="str">
        <f>TEXT(Bike_Sales[[#This Row],[Date]],"mmmm")</f>
        <v>November</v>
      </c>
      <c r="C53" s="19">
        <f>MONTH(Bike_Sales[[#This Row],[Date]])</f>
        <v>11</v>
      </c>
      <c r="D53" s="2" t="str">
        <f>TEXT(Bike_Sales[[#This Row],[Date]],"dddd")</f>
        <v>Wednesday</v>
      </c>
      <c r="E53" s="3">
        <v>21</v>
      </c>
      <c r="F53" s="3" t="s">
        <v>135</v>
      </c>
      <c r="G53" s="3" t="s">
        <v>18</v>
      </c>
      <c r="H53" s="3" t="s">
        <v>24</v>
      </c>
      <c r="I53" s="3" t="s">
        <v>11</v>
      </c>
      <c r="J53" s="3" t="s">
        <v>101</v>
      </c>
      <c r="K53" s="3" t="s">
        <v>41</v>
      </c>
      <c r="L53" s="4">
        <v>1</v>
      </c>
      <c r="M53" s="3">
        <v>580</v>
      </c>
      <c r="N53" s="3">
        <v>920</v>
      </c>
      <c r="O53" s="15">
        <f>Bike_Sales[[#This Row],[Order_Quantity]]*Bike_Sales[[#This Row],[Unit_Price]]</f>
        <v>920</v>
      </c>
      <c r="P53" s="15">
        <f>Bike_Sales[[#This Row],[Order_Quantity]]*Bike_Sales[[#This Row],[Unit_Cost]]</f>
        <v>580</v>
      </c>
      <c r="Q53" s="15">
        <f>Bike_Sales[[#This Row],[Total Sales]]-Bike_Sales[[#This Row],[Total Cost]]</f>
        <v>340</v>
      </c>
      <c r="R53" s="17">
        <f>Bike_Sales[[#This Row],[Profit]]/Bike_Sales[[#This Row],[Total Sales]]</f>
        <v>0.36956521739130432</v>
      </c>
      <c r="S53" s="16" t="str">
        <f t="shared" si="0"/>
        <v>Under 25</v>
      </c>
    </row>
    <row r="54" spans="1:19" x14ac:dyDescent="0.35">
      <c r="A54" s="2">
        <v>44529</v>
      </c>
      <c r="B54" s="2" t="str">
        <f>TEXT(Bike_Sales[[#This Row],[Date]],"mmmm")</f>
        <v>November</v>
      </c>
      <c r="C54" s="19">
        <f>MONTH(Bike_Sales[[#This Row],[Date]])</f>
        <v>11</v>
      </c>
      <c r="D54" s="2" t="str">
        <f>TEXT(Bike_Sales[[#This Row],[Date]],"dddd")</f>
        <v>Monday</v>
      </c>
      <c r="E54" s="3">
        <v>21</v>
      </c>
      <c r="F54" s="3" t="s">
        <v>126</v>
      </c>
      <c r="G54" s="3" t="s">
        <v>18</v>
      </c>
      <c r="H54" s="3" t="s">
        <v>21</v>
      </c>
      <c r="I54" s="3" t="s">
        <v>11</v>
      </c>
      <c r="J54" s="3" t="s">
        <v>101</v>
      </c>
      <c r="K54" s="3" t="s">
        <v>46</v>
      </c>
      <c r="L54" s="4">
        <v>4</v>
      </c>
      <c r="M54" s="3">
        <v>580</v>
      </c>
      <c r="N54" s="3">
        <v>920</v>
      </c>
      <c r="O54" s="15">
        <f>Bike_Sales[[#This Row],[Order_Quantity]]*Bike_Sales[[#This Row],[Unit_Price]]</f>
        <v>3680</v>
      </c>
      <c r="P54" s="15">
        <f>Bike_Sales[[#This Row],[Order_Quantity]]*Bike_Sales[[#This Row],[Unit_Cost]]</f>
        <v>2320</v>
      </c>
      <c r="Q54" s="15">
        <f>Bike_Sales[[#This Row],[Total Sales]]-Bike_Sales[[#This Row],[Total Cost]]</f>
        <v>1360</v>
      </c>
      <c r="R54" s="17">
        <f>Bike_Sales[[#This Row],[Profit]]/Bike_Sales[[#This Row],[Total Sales]]</f>
        <v>0.36956521739130432</v>
      </c>
      <c r="S54" s="16" t="str">
        <f t="shared" si="0"/>
        <v>Under 25</v>
      </c>
    </row>
    <row r="55" spans="1:19" x14ac:dyDescent="0.35">
      <c r="A55" s="2">
        <v>44511</v>
      </c>
      <c r="B55" s="2" t="str">
        <f>TEXT(Bike_Sales[[#This Row],[Date]],"mmmm")</f>
        <v>November</v>
      </c>
      <c r="C55" s="19">
        <f>MONTH(Bike_Sales[[#This Row],[Date]])</f>
        <v>11</v>
      </c>
      <c r="D55" s="2" t="str">
        <f>TEXT(Bike_Sales[[#This Row],[Date]],"dddd")</f>
        <v>Thursday</v>
      </c>
      <c r="E55" s="3">
        <v>22</v>
      </c>
      <c r="F55" s="3" t="s">
        <v>126</v>
      </c>
      <c r="G55" s="3" t="s">
        <v>18</v>
      </c>
      <c r="H55" s="3" t="s">
        <v>24</v>
      </c>
      <c r="I55" s="3" t="s">
        <v>11</v>
      </c>
      <c r="J55" s="3" t="s">
        <v>102</v>
      </c>
      <c r="K55" s="3" t="s">
        <v>43</v>
      </c>
      <c r="L55" s="4">
        <v>3</v>
      </c>
      <c r="M55" s="3">
        <v>900</v>
      </c>
      <c r="N55" s="3">
        <v>1400</v>
      </c>
      <c r="O55" s="15">
        <f>Bike_Sales[[#This Row],[Order_Quantity]]*Bike_Sales[[#This Row],[Unit_Price]]</f>
        <v>4200</v>
      </c>
      <c r="P55" s="15">
        <f>Bike_Sales[[#This Row],[Order_Quantity]]*Bike_Sales[[#This Row],[Unit_Cost]]</f>
        <v>2700</v>
      </c>
      <c r="Q55" s="15">
        <f>Bike_Sales[[#This Row],[Total Sales]]-Bike_Sales[[#This Row],[Total Cost]]</f>
        <v>1500</v>
      </c>
      <c r="R55" s="17">
        <f>Bike_Sales[[#This Row],[Profit]]/Bike_Sales[[#This Row],[Total Sales]]</f>
        <v>0.35714285714285715</v>
      </c>
      <c r="S55" s="16" t="str">
        <f t="shared" si="0"/>
        <v>Under 25</v>
      </c>
    </row>
    <row r="56" spans="1:19" x14ac:dyDescent="0.35">
      <c r="A56" s="2">
        <v>44511</v>
      </c>
      <c r="B56" s="2" t="str">
        <f>TEXT(Bike_Sales[[#This Row],[Date]],"mmmm")</f>
        <v>November</v>
      </c>
      <c r="C56" s="19">
        <f>MONTH(Bike_Sales[[#This Row],[Date]])</f>
        <v>11</v>
      </c>
      <c r="D56" s="2" t="str">
        <f>TEXT(Bike_Sales[[#This Row],[Date]],"dddd")</f>
        <v>Thursday</v>
      </c>
      <c r="E56" s="3">
        <v>22</v>
      </c>
      <c r="F56" s="3" t="s">
        <v>135</v>
      </c>
      <c r="G56" s="3" t="s">
        <v>9</v>
      </c>
      <c r="H56" s="3" t="s">
        <v>10</v>
      </c>
      <c r="I56" s="3" t="s">
        <v>16</v>
      </c>
      <c r="J56" s="3" t="s">
        <v>103</v>
      </c>
      <c r="K56" s="3" t="s">
        <v>50</v>
      </c>
      <c r="L56" s="4">
        <v>2</v>
      </c>
      <c r="M56" s="3">
        <v>550</v>
      </c>
      <c r="N56" s="3">
        <v>850</v>
      </c>
      <c r="O56" s="15">
        <f>Bike_Sales[[#This Row],[Order_Quantity]]*Bike_Sales[[#This Row],[Unit_Price]]</f>
        <v>1700</v>
      </c>
      <c r="P56" s="15">
        <f>Bike_Sales[[#This Row],[Order_Quantity]]*Bike_Sales[[#This Row],[Unit_Cost]]</f>
        <v>1100</v>
      </c>
      <c r="Q56" s="15">
        <f>Bike_Sales[[#This Row],[Total Sales]]-Bike_Sales[[#This Row],[Total Cost]]</f>
        <v>600</v>
      </c>
      <c r="R56" s="17">
        <f>Bike_Sales[[#This Row],[Profit]]/Bike_Sales[[#This Row],[Total Sales]]</f>
        <v>0.35294117647058826</v>
      </c>
      <c r="S56" s="16" t="str">
        <f t="shared" si="0"/>
        <v>Under 25</v>
      </c>
    </row>
    <row r="57" spans="1:19" x14ac:dyDescent="0.35">
      <c r="A57" s="2">
        <v>44511</v>
      </c>
      <c r="B57" s="2" t="str">
        <f>TEXT(Bike_Sales[[#This Row],[Date]],"mmmm")</f>
        <v>November</v>
      </c>
      <c r="C57" s="19">
        <f>MONTH(Bike_Sales[[#This Row],[Date]])</f>
        <v>11</v>
      </c>
      <c r="D57" s="2" t="str">
        <f>TEXT(Bike_Sales[[#This Row],[Date]],"dddd")</f>
        <v>Thursday</v>
      </c>
      <c r="E57" s="3">
        <v>22</v>
      </c>
      <c r="F57" s="3" t="s">
        <v>135</v>
      </c>
      <c r="G57" s="3" t="s">
        <v>33</v>
      </c>
      <c r="H57" s="3" t="s">
        <v>56</v>
      </c>
      <c r="I57" s="3" t="s">
        <v>16</v>
      </c>
      <c r="J57" s="3" t="s">
        <v>101</v>
      </c>
      <c r="K57" s="3" t="s">
        <v>17</v>
      </c>
      <c r="L57" s="4">
        <v>1</v>
      </c>
      <c r="M57" s="3">
        <v>550</v>
      </c>
      <c r="N57" s="3">
        <v>850</v>
      </c>
      <c r="O57" s="15">
        <f>Bike_Sales[[#This Row],[Order_Quantity]]*Bike_Sales[[#This Row],[Unit_Price]]</f>
        <v>850</v>
      </c>
      <c r="P57" s="15">
        <f>Bike_Sales[[#This Row],[Order_Quantity]]*Bike_Sales[[#This Row],[Unit_Cost]]</f>
        <v>550</v>
      </c>
      <c r="Q57" s="15">
        <f>Bike_Sales[[#This Row],[Total Sales]]-Bike_Sales[[#This Row],[Total Cost]]</f>
        <v>300</v>
      </c>
      <c r="R57" s="17">
        <f>Bike_Sales[[#This Row],[Profit]]/Bike_Sales[[#This Row],[Total Sales]]</f>
        <v>0.35294117647058826</v>
      </c>
      <c r="S57" s="16" t="str">
        <f t="shared" si="0"/>
        <v>Under 25</v>
      </c>
    </row>
    <row r="58" spans="1:19" x14ac:dyDescent="0.35">
      <c r="A58" s="2">
        <v>44512</v>
      </c>
      <c r="B58" s="2" t="str">
        <f>TEXT(Bike_Sales[[#This Row],[Date]],"mmmm")</f>
        <v>November</v>
      </c>
      <c r="C58" s="19">
        <f>MONTH(Bike_Sales[[#This Row],[Date]])</f>
        <v>11</v>
      </c>
      <c r="D58" s="2" t="str">
        <f>TEXT(Bike_Sales[[#This Row],[Date]],"dddd")</f>
        <v>Friday</v>
      </c>
      <c r="E58" s="3">
        <v>22</v>
      </c>
      <c r="F58" s="3" t="s">
        <v>126</v>
      </c>
      <c r="G58" s="3" t="s">
        <v>39</v>
      </c>
      <c r="H58" s="3" t="s">
        <v>42</v>
      </c>
      <c r="I58" s="3" t="s">
        <v>11</v>
      </c>
      <c r="J58" s="3" t="s">
        <v>104</v>
      </c>
      <c r="K58" s="3" t="s">
        <v>52</v>
      </c>
      <c r="L58" s="4">
        <v>2</v>
      </c>
      <c r="M58" s="3">
        <v>530</v>
      </c>
      <c r="N58" s="3">
        <v>840</v>
      </c>
      <c r="O58" s="15">
        <f>Bike_Sales[[#This Row],[Order_Quantity]]*Bike_Sales[[#This Row],[Unit_Price]]</f>
        <v>1680</v>
      </c>
      <c r="P58" s="15">
        <f>Bike_Sales[[#This Row],[Order_Quantity]]*Bike_Sales[[#This Row],[Unit_Cost]]</f>
        <v>1060</v>
      </c>
      <c r="Q58" s="15">
        <f>Bike_Sales[[#This Row],[Total Sales]]-Bike_Sales[[#This Row],[Total Cost]]</f>
        <v>620</v>
      </c>
      <c r="R58" s="17">
        <f>Bike_Sales[[#This Row],[Profit]]/Bike_Sales[[#This Row],[Total Sales]]</f>
        <v>0.36904761904761907</v>
      </c>
      <c r="S58" s="16" t="str">
        <f t="shared" si="0"/>
        <v>Under 25</v>
      </c>
    </row>
    <row r="59" spans="1:19" x14ac:dyDescent="0.35">
      <c r="A59" s="2">
        <v>44514</v>
      </c>
      <c r="B59" s="2" t="str">
        <f>TEXT(Bike_Sales[[#This Row],[Date]],"mmmm")</f>
        <v>November</v>
      </c>
      <c r="C59" s="19">
        <f>MONTH(Bike_Sales[[#This Row],[Date]])</f>
        <v>11</v>
      </c>
      <c r="D59" s="2" t="str">
        <f>TEXT(Bike_Sales[[#This Row],[Date]],"dddd")</f>
        <v>Sunday</v>
      </c>
      <c r="E59" s="3">
        <v>22</v>
      </c>
      <c r="F59" s="3" t="s">
        <v>135</v>
      </c>
      <c r="G59" s="3" t="s">
        <v>33</v>
      </c>
      <c r="H59" s="3" t="s">
        <v>136</v>
      </c>
      <c r="I59" s="3" t="s">
        <v>16</v>
      </c>
      <c r="J59" s="3" t="s">
        <v>101</v>
      </c>
      <c r="K59" s="3" t="s">
        <v>17</v>
      </c>
      <c r="L59" s="4">
        <v>2</v>
      </c>
      <c r="M59" s="3">
        <v>550</v>
      </c>
      <c r="N59" s="3">
        <v>850</v>
      </c>
      <c r="O59" s="15">
        <f>Bike_Sales[[#This Row],[Order_Quantity]]*Bike_Sales[[#This Row],[Unit_Price]]</f>
        <v>1700</v>
      </c>
      <c r="P59" s="15">
        <f>Bike_Sales[[#This Row],[Order_Quantity]]*Bike_Sales[[#This Row],[Unit_Cost]]</f>
        <v>1100</v>
      </c>
      <c r="Q59" s="15">
        <f>Bike_Sales[[#This Row],[Total Sales]]-Bike_Sales[[#This Row],[Total Cost]]</f>
        <v>600</v>
      </c>
      <c r="R59" s="17">
        <f>Bike_Sales[[#This Row],[Profit]]/Bike_Sales[[#This Row],[Total Sales]]</f>
        <v>0.35294117647058826</v>
      </c>
      <c r="S59" s="16" t="str">
        <f t="shared" si="0"/>
        <v>Under 25</v>
      </c>
    </row>
    <row r="60" spans="1:19" x14ac:dyDescent="0.35">
      <c r="A60" s="2">
        <v>44518</v>
      </c>
      <c r="B60" s="2" t="str">
        <f>TEXT(Bike_Sales[[#This Row],[Date]],"mmmm")</f>
        <v>November</v>
      </c>
      <c r="C60" s="19">
        <f>MONTH(Bike_Sales[[#This Row],[Date]])</f>
        <v>11</v>
      </c>
      <c r="D60" s="2" t="str">
        <f>TEXT(Bike_Sales[[#This Row],[Date]],"dddd")</f>
        <v>Thursday</v>
      </c>
      <c r="E60" s="3">
        <v>22</v>
      </c>
      <c r="F60" s="3" t="s">
        <v>126</v>
      </c>
      <c r="G60" s="3" t="s">
        <v>18</v>
      </c>
      <c r="H60" s="3" t="s">
        <v>35</v>
      </c>
      <c r="I60" s="3" t="s">
        <v>11</v>
      </c>
      <c r="J60" s="3" t="s">
        <v>101</v>
      </c>
      <c r="K60" s="3" t="s">
        <v>87</v>
      </c>
      <c r="L60" s="4">
        <v>1</v>
      </c>
      <c r="M60" s="3">
        <v>620</v>
      </c>
      <c r="N60" s="3">
        <v>980</v>
      </c>
      <c r="O60" s="15">
        <f>Bike_Sales[[#This Row],[Order_Quantity]]*Bike_Sales[[#This Row],[Unit_Price]]</f>
        <v>980</v>
      </c>
      <c r="P60" s="15">
        <f>Bike_Sales[[#This Row],[Order_Quantity]]*Bike_Sales[[#This Row],[Unit_Cost]]</f>
        <v>620</v>
      </c>
      <c r="Q60" s="15">
        <f>Bike_Sales[[#This Row],[Total Sales]]-Bike_Sales[[#This Row],[Total Cost]]</f>
        <v>360</v>
      </c>
      <c r="R60" s="17">
        <f>Bike_Sales[[#This Row],[Profit]]/Bike_Sales[[#This Row],[Total Sales]]</f>
        <v>0.36734693877551022</v>
      </c>
      <c r="S60" s="16" t="str">
        <f t="shared" si="0"/>
        <v>Under 25</v>
      </c>
    </row>
    <row r="61" spans="1:19" x14ac:dyDescent="0.35">
      <c r="A61" s="2">
        <v>44524</v>
      </c>
      <c r="B61" s="2" t="str">
        <f>TEXT(Bike_Sales[[#This Row],[Date]],"mmmm")</f>
        <v>November</v>
      </c>
      <c r="C61" s="19">
        <f>MONTH(Bike_Sales[[#This Row],[Date]])</f>
        <v>11</v>
      </c>
      <c r="D61" s="2" t="str">
        <f>TEXT(Bike_Sales[[#This Row],[Date]],"dddd")</f>
        <v>Wednesday</v>
      </c>
      <c r="E61" s="3">
        <v>22</v>
      </c>
      <c r="F61" s="3" t="s">
        <v>126</v>
      </c>
      <c r="G61" s="3" t="s">
        <v>18</v>
      </c>
      <c r="H61" s="3" t="s">
        <v>35</v>
      </c>
      <c r="I61" s="3" t="s">
        <v>11</v>
      </c>
      <c r="J61" s="3" t="s">
        <v>101</v>
      </c>
      <c r="K61" s="3" t="s">
        <v>87</v>
      </c>
      <c r="L61" s="4">
        <v>3</v>
      </c>
      <c r="M61" s="3">
        <v>620</v>
      </c>
      <c r="N61" s="3">
        <v>980</v>
      </c>
      <c r="O61" s="15">
        <f>Bike_Sales[[#This Row],[Order_Quantity]]*Bike_Sales[[#This Row],[Unit_Price]]</f>
        <v>2940</v>
      </c>
      <c r="P61" s="15">
        <f>Bike_Sales[[#This Row],[Order_Quantity]]*Bike_Sales[[#This Row],[Unit_Cost]]</f>
        <v>1860</v>
      </c>
      <c r="Q61" s="15">
        <f>Bike_Sales[[#This Row],[Total Sales]]-Bike_Sales[[#This Row],[Total Cost]]</f>
        <v>1080</v>
      </c>
      <c r="R61" s="17">
        <f>Bike_Sales[[#This Row],[Profit]]/Bike_Sales[[#This Row],[Total Sales]]</f>
        <v>0.36734693877551022</v>
      </c>
      <c r="S61" s="16" t="str">
        <f t="shared" si="0"/>
        <v>Under 25</v>
      </c>
    </row>
    <row r="62" spans="1:19" x14ac:dyDescent="0.35">
      <c r="A62" s="2">
        <v>44525</v>
      </c>
      <c r="B62" s="2" t="str">
        <f>TEXT(Bike_Sales[[#This Row],[Date]],"mmmm")</f>
        <v>November</v>
      </c>
      <c r="C62" s="19">
        <f>MONTH(Bike_Sales[[#This Row],[Date]])</f>
        <v>11</v>
      </c>
      <c r="D62" s="2" t="str">
        <f>TEXT(Bike_Sales[[#This Row],[Date]],"dddd")</f>
        <v>Thursday</v>
      </c>
      <c r="E62" s="3">
        <v>22</v>
      </c>
      <c r="F62" s="3" t="s">
        <v>126</v>
      </c>
      <c r="G62" s="3" t="s">
        <v>9</v>
      </c>
      <c r="H62" s="3" t="s">
        <v>10</v>
      </c>
      <c r="I62" s="3" t="s">
        <v>11</v>
      </c>
      <c r="J62" s="3" t="s">
        <v>102</v>
      </c>
      <c r="K62" s="3" t="s">
        <v>28</v>
      </c>
      <c r="L62" s="4">
        <v>1</v>
      </c>
      <c r="M62" s="3">
        <v>580</v>
      </c>
      <c r="N62" s="3">
        <v>920</v>
      </c>
      <c r="O62" s="15">
        <f>Bike_Sales[[#This Row],[Order_Quantity]]*Bike_Sales[[#This Row],[Unit_Price]]</f>
        <v>920</v>
      </c>
      <c r="P62" s="15">
        <f>Bike_Sales[[#This Row],[Order_Quantity]]*Bike_Sales[[#This Row],[Unit_Cost]]</f>
        <v>580</v>
      </c>
      <c r="Q62" s="15">
        <f>Bike_Sales[[#This Row],[Total Sales]]-Bike_Sales[[#This Row],[Total Cost]]</f>
        <v>340</v>
      </c>
      <c r="R62" s="17">
        <f>Bike_Sales[[#This Row],[Profit]]/Bike_Sales[[#This Row],[Total Sales]]</f>
        <v>0.36956521739130432</v>
      </c>
      <c r="S62" s="16" t="str">
        <f t="shared" si="0"/>
        <v>Under 25</v>
      </c>
    </row>
    <row r="63" spans="1:19" x14ac:dyDescent="0.35">
      <c r="A63" s="2">
        <v>44534</v>
      </c>
      <c r="B63" s="2" t="str">
        <f>TEXT(Bike_Sales[[#This Row],[Date]],"mmmm")</f>
        <v>December</v>
      </c>
      <c r="C63" s="19">
        <f>MONTH(Bike_Sales[[#This Row],[Date]])</f>
        <v>12</v>
      </c>
      <c r="D63" s="2" t="str">
        <f>TEXT(Bike_Sales[[#This Row],[Date]],"dddd")</f>
        <v>Saturday</v>
      </c>
      <c r="E63" s="3">
        <v>22</v>
      </c>
      <c r="F63" s="3" t="s">
        <v>135</v>
      </c>
      <c r="G63" s="3" t="s">
        <v>9</v>
      </c>
      <c r="H63" s="3" t="s">
        <v>69</v>
      </c>
      <c r="I63" s="3" t="s">
        <v>11</v>
      </c>
      <c r="J63" s="3" t="s">
        <v>101</v>
      </c>
      <c r="K63" s="3" t="s">
        <v>31</v>
      </c>
      <c r="L63" s="4">
        <v>1</v>
      </c>
      <c r="M63" s="3">
        <v>580</v>
      </c>
      <c r="N63" s="3">
        <v>920</v>
      </c>
      <c r="O63" s="15">
        <f>Bike_Sales[[#This Row],[Order_Quantity]]*Bike_Sales[[#This Row],[Unit_Price]]</f>
        <v>920</v>
      </c>
      <c r="P63" s="15">
        <f>Bike_Sales[[#This Row],[Order_Quantity]]*Bike_Sales[[#This Row],[Unit_Cost]]</f>
        <v>580</v>
      </c>
      <c r="Q63" s="15">
        <f>Bike_Sales[[#This Row],[Total Sales]]-Bike_Sales[[#This Row],[Total Cost]]</f>
        <v>340</v>
      </c>
      <c r="R63" s="17">
        <f>Bike_Sales[[#This Row],[Profit]]/Bike_Sales[[#This Row],[Total Sales]]</f>
        <v>0.36956521739130432</v>
      </c>
      <c r="S63" s="16" t="str">
        <f t="shared" si="0"/>
        <v>Under 25</v>
      </c>
    </row>
    <row r="64" spans="1:19" x14ac:dyDescent="0.35">
      <c r="A64" s="2">
        <v>44553</v>
      </c>
      <c r="B64" s="2" t="str">
        <f>TEXT(Bike_Sales[[#This Row],[Date]],"mmmm")</f>
        <v>December</v>
      </c>
      <c r="C64" s="19">
        <f>MONTH(Bike_Sales[[#This Row],[Date]])</f>
        <v>12</v>
      </c>
      <c r="D64" s="2" t="str">
        <f>TEXT(Bike_Sales[[#This Row],[Date]],"dddd")</f>
        <v>Thursday</v>
      </c>
      <c r="E64" s="3">
        <v>22</v>
      </c>
      <c r="F64" s="3" t="s">
        <v>126</v>
      </c>
      <c r="G64" s="3" t="s">
        <v>9</v>
      </c>
      <c r="H64" s="3" t="s">
        <v>10</v>
      </c>
      <c r="I64" s="3" t="s">
        <v>11</v>
      </c>
      <c r="J64" s="3" t="s">
        <v>102</v>
      </c>
      <c r="K64" s="3" t="s">
        <v>28</v>
      </c>
      <c r="L64" s="4">
        <v>2</v>
      </c>
      <c r="M64" s="3">
        <v>580</v>
      </c>
      <c r="N64" s="3">
        <v>920</v>
      </c>
      <c r="O64" s="15">
        <f>Bike_Sales[[#This Row],[Order_Quantity]]*Bike_Sales[[#This Row],[Unit_Price]]</f>
        <v>1840</v>
      </c>
      <c r="P64" s="15">
        <f>Bike_Sales[[#This Row],[Order_Quantity]]*Bike_Sales[[#This Row],[Unit_Cost]]</f>
        <v>1160</v>
      </c>
      <c r="Q64" s="15">
        <f>Bike_Sales[[#This Row],[Total Sales]]-Bike_Sales[[#This Row],[Total Cost]]</f>
        <v>680</v>
      </c>
      <c r="R64" s="17">
        <f>Bike_Sales[[#This Row],[Profit]]/Bike_Sales[[#This Row],[Total Sales]]</f>
        <v>0.36956521739130432</v>
      </c>
      <c r="S64" s="16" t="str">
        <f t="shared" si="0"/>
        <v>Under 25</v>
      </c>
    </row>
    <row r="65" spans="1:19" x14ac:dyDescent="0.35">
      <c r="A65" s="2">
        <v>44559</v>
      </c>
      <c r="B65" s="2" t="str">
        <f>TEXT(Bike_Sales[[#This Row],[Date]],"mmmm")</f>
        <v>December</v>
      </c>
      <c r="C65" s="19">
        <f>MONTH(Bike_Sales[[#This Row],[Date]])</f>
        <v>12</v>
      </c>
      <c r="D65" s="2" t="str">
        <f>TEXT(Bike_Sales[[#This Row],[Date]],"dddd")</f>
        <v>Wednesday</v>
      </c>
      <c r="E65" s="3">
        <v>22</v>
      </c>
      <c r="F65" s="3" t="s">
        <v>135</v>
      </c>
      <c r="G65" s="3" t="s">
        <v>9</v>
      </c>
      <c r="H65" s="3" t="s">
        <v>10</v>
      </c>
      <c r="I65" s="3" t="s">
        <v>11</v>
      </c>
      <c r="J65" s="3" t="s">
        <v>101</v>
      </c>
      <c r="K65" s="3" t="s">
        <v>67</v>
      </c>
      <c r="L65" s="4">
        <v>1</v>
      </c>
      <c r="M65" s="3">
        <v>700</v>
      </c>
      <c r="N65" s="3">
        <v>1100</v>
      </c>
      <c r="O65" s="15">
        <f>Bike_Sales[[#This Row],[Order_Quantity]]*Bike_Sales[[#This Row],[Unit_Price]]</f>
        <v>1100</v>
      </c>
      <c r="P65" s="15">
        <f>Bike_Sales[[#This Row],[Order_Quantity]]*Bike_Sales[[#This Row],[Unit_Cost]]</f>
        <v>700</v>
      </c>
      <c r="Q65" s="15">
        <f>Bike_Sales[[#This Row],[Total Sales]]-Bike_Sales[[#This Row],[Total Cost]]</f>
        <v>400</v>
      </c>
      <c r="R65" s="17">
        <f>Bike_Sales[[#This Row],[Profit]]/Bike_Sales[[#This Row],[Total Sales]]</f>
        <v>0.36363636363636365</v>
      </c>
      <c r="S65" s="16" t="str">
        <f t="shared" si="0"/>
        <v>Under 25</v>
      </c>
    </row>
    <row r="66" spans="1:19" x14ac:dyDescent="0.35">
      <c r="A66" s="2">
        <v>44490</v>
      </c>
      <c r="B66" s="2" t="str">
        <f>TEXT(Bike_Sales[[#This Row],[Date]],"mmmm")</f>
        <v>October</v>
      </c>
      <c r="C66" s="19">
        <f>MONTH(Bike_Sales[[#This Row],[Date]])</f>
        <v>10</v>
      </c>
      <c r="D66" s="2" t="str">
        <f>TEXT(Bike_Sales[[#This Row],[Date]],"dddd")</f>
        <v>Thursday</v>
      </c>
      <c r="E66" s="3">
        <v>23</v>
      </c>
      <c r="F66" s="3" t="s">
        <v>126</v>
      </c>
      <c r="G66" s="3" t="s">
        <v>18</v>
      </c>
      <c r="H66" s="3" t="s">
        <v>24</v>
      </c>
      <c r="I66" s="3" t="s">
        <v>11</v>
      </c>
      <c r="J66" s="3" t="s">
        <v>101</v>
      </c>
      <c r="K66" s="3" t="s">
        <v>41</v>
      </c>
      <c r="L66" s="4">
        <v>1</v>
      </c>
      <c r="M66" s="3">
        <v>580</v>
      </c>
      <c r="N66" s="3">
        <v>920</v>
      </c>
      <c r="O66" s="15">
        <f>Bike_Sales[[#This Row],[Order_Quantity]]*Bike_Sales[[#This Row],[Unit_Price]]</f>
        <v>920</v>
      </c>
      <c r="P66" s="15">
        <f>Bike_Sales[[#This Row],[Order_Quantity]]*Bike_Sales[[#This Row],[Unit_Cost]]</f>
        <v>580</v>
      </c>
      <c r="Q66" s="15">
        <f>Bike_Sales[[#This Row],[Total Sales]]-Bike_Sales[[#This Row],[Total Cost]]</f>
        <v>340</v>
      </c>
      <c r="R66" s="17">
        <f>Bike_Sales[[#This Row],[Profit]]/Bike_Sales[[#This Row],[Total Sales]]</f>
        <v>0.36956521739130432</v>
      </c>
      <c r="S66" s="16" t="str">
        <f t="shared" ref="S66:S129" si="1">IF(E66&lt;25,"Under 25",IF(E66&lt;35,"25-34",IF(E66&lt;45,"35-44",IF(E66&lt;55,"45-54","55+"))))</f>
        <v>Under 25</v>
      </c>
    </row>
    <row r="67" spans="1:19" x14ac:dyDescent="0.35">
      <c r="A67" s="2">
        <v>44494</v>
      </c>
      <c r="B67" s="2" t="str">
        <f>TEXT(Bike_Sales[[#This Row],[Date]],"mmmm")</f>
        <v>October</v>
      </c>
      <c r="C67" s="19">
        <f>MONTH(Bike_Sales[[#This Row],[Date]])</f>
        <v>10</v>
      </c>
      <c r="D67" s="2" t="str">
        <f>TEXT(Bike_Sales[[#This Row],[Date]],"dddd")</f>
        <v>Monday</v>
      </c>
      <c r="E67" s="3">
        <v>23</v>
      </c>
      <c r="F67" s="3" t="s">
        <v>126</v>
      </c>
      <c r="G67" s="3" t="s">
        <v>39</v>
      </c>
      <c r="H67" s="3" t="s">
        <v>80</v>
      </c>
      <c r="I67" s="3" t="s">
        <v>16</v>
      </c>
      <c r="J67" s="3" t="s">
        <v>101</v>
      </c>
      <c r="K67" s="3" t="s">
        <v>17</v>
      </c>
      <c r="L67" s="4">
        <v>3</v>
      </c>
      <c r="M67" s="3">
        <v>550</v>
      </c>
      <c r="N67" s="3">
        <v>850</v>
      </c>
      <c r="O67" s="15">
        <f>Bike_Sales[[#This Row],[Order_Quantity]]*Bike_Sales[[#This Row],[Unit_Price]]</f>
        <v>2550</v>
      </c>
      <c r="P67" s="15">
        <f>Bike_Sales[[#This Row],[Order_Quantity]]*Bike_Sales[[#This Row],[Unit_Cost]]</f>
        <v>1650</v>
      </c>
      <c r="Q67" s="15">
        <f>Bike_Sales[[#This Row],[Total Sales]]-Bike_Sales[[#This Row],[Total Cost]]</f>
        <v>900</v>
      </c>
      <c r="R67" s="17">
        <f>Bike_Sales[[#This Row],[Profit]]/Bike_Sales[[#This Row],[Total Sales]]</f>
        <v>0.35294117647058826</v>
      </c>
      <c r="S67" s="16" t="str">
        <f t="shared" si="1"/>
        <v>Under 25</v>
      </c>
    </row>
    <row r="68" spans="1:19" x14ac:dyDescent="0.35">
      <c r="A68" s="2">
        <v>44495</v>
      </c>
      <c r="B68" s="2" t="str">
        <f>TEXT(Bike_Sales[[#This Row],[Date]],"mmmm")</f>
        <v>October</v>
      </c>
      <c r="C68" s="19">
        <f>MONTH(Bike_Sales[[#This Row],[Date]])</f>
        <v>10</v>
      </c>
      <c r="D68" s="2" t="str">
        <f>TEXT(Bike_Sales[[#This Row],[Date]],"dddd")</f>
        <v>Tuesday</v>
      </c>
      <c r="E68" s="3">
        <v>23</v>
      </c>
      <c r="F68" s="3" t="s">
        <v>135</v>
      </c>
      <c r="G68" s="3" t="s">
        <v>18</v>
      </c>
      <c r="H68" s="3" t="s">
        <v>24</v>
      </c>
      <c r="I68" s="3" t="s">
        <v>11</v>
      </c>
      <c r="J68" s="3" t="s">
        <v>104</v>
      </c>
      <c r="K68" s="3" t="s">
        <v>27</v>
      </c>
      <c r="L68" s="4">
        <v>1</v>
      </c>
      <c r="M68" s="3">
        <v>530</v>
      </c>
      <c r="N68" s="3">
        <v>840</v>
      </c>
      <c r="O68" s="15">
        <f>Bike_Sales[[#This Row],[Order_Quantity]]*Bike_Sales[[#This Row],[Unit_Price]]</f>
        <v>840</v>
      </c>
      <c r="P68" s="15">
        <f>Bike_Sales[[#This Row],[Order_Quantity]]*Bike_Sales[[#This Row],[Unit_Cost]]</f>
        <v>530</v>
      </c>
      <c r="Q68" s="15">
        <f>Bike_Sales[[#This Row],[Total Sales]]-Bike_Sales[[#This Row],[Total Cost]]</f>
        <v>310</v>
      </c>
      <c r="R68" s="17">
        <f>Bike_Sales[[#This Row],[Profit]]/Bike_Sales[[#This Row],[Total Sales]]</f>
        <v>0.36904761904761907</v>
      </c>
      <c r="S68" s="16" t="str">
        <f t="shared" si="1"/>
        <v>Under 25</v>
      </c>
    </row>
    <row r="69" spans="1:19" x14ac:dyDescent="0.35">
      <c r="A69" s="2">
        <v>44499</v>
      </c>
      <c r="B69" s="2" t="str">
        <f>TEXT(Bike_Sales[[#This Row],[Date]],"mmmm")</f>
        <v>October</v>
      </c>
      <c r="C69" s="19">
        <f>MONTH(Bike_Sales[[#This Row],[Date]])</f>
        <v>10</v>
      </c>
      <c r="D69" s="2" t="str">
        <f>TEXT(Bike_Sales[[#This Row],[Date]],"dddd")</f>
        <v>Saturday</v>
      </c>
      <c r="E69" s="3">
        <v>23</v>
      </c>
      <c r="F69" s="3" t="s">
        <v>126</v>
      </c>
      <c r="G69" s="3" t="s">
        <v>9</v>
      </c>
      <c r="H69" s="3" t="s">
        <v>10</v>
      </c>
      <c r="I69" s="3" t="s">
        <v>11</v>
      </c>
      <c r="J69" s="3" t="s">
        <v>104</v>
      </c>
      <c r="K69" s="3" t="s">
        <v>68</v>
      </c>
      <c r="L69" s="4">
        <v>3</v>
      </c>
      <c r="M69" s="3">
        <v>500</v>
      </c>
      <c r="N69" s="3">
        <v>800</v>
      </c>
      <c r="O69" s="15">
        <f>Bike_Sales[[#This Row],[Order_Quantity]]*Bike_Sales[[#This Row],[Unit_Price]]</f>
        <v>2400</v>
      </c>
      <c r="P69" s="15">
        <f>Bike_Sales[[#This Row],[Order_Quantity]]*Bike_Sales[[#This Row],[Unit_Cost]]</f>
        <v>1500</v>
      </c>
      <c r="Q69" s="15">
        <f>Bike_Sales[[#This Row],[Total Sales]]-Bike_Sales[[#This Row],[Total Cost]]</f>
        <v>900</v>
      </c>
      <c r="R69" s="17">
        <f>Bike_Sales[[#This Row],[Profit]]/Bike_Sales[[#This Row],[Total Sales]]</f>
        <v>0.375</v>
      </c>
      <c r="S69" s="16" t="str">
        <f t="shared" si="1"/>
        <v>Under 25</v>
      </c>
    </row>
    <row r="70" spans="1:19" x14ac:dyDescent="0.35">
      <c r="A70" s="2">
        <v>44514</v>
      </c>
      <c r="B70" s="2" t="str">
        <f>TEXT(Bike_Sales[[#This Row],[Date]],"mmmm")</f>
        <v>November</v>
      </c>
      <c r="C70" s="19">
        <f>MONTH(Bike_Sales[[#This Row],[Date]])</f>
        <v>11</v>
      </c>
      <c r="D70" s="2" t="str">
        <f>TEXT(Bike_Sales[[#This Row],[Date]],"dddd")</f>
        <v>Sunday</v>
      </c>
      <c r="E70" s="3">
        <v>23</v>
      </c>
      <c r="F70" s="3" t="s">
        <v>135</v>
      </c>
      <c r="G70" s="3" t="s">
        <v>9</v>
      </c>
      <c r="H70" s="3" t="s">
        <v>37</v>
      </c>
      <c r="I70" s="3" t="s">
        <v>11</v>
      </c>
      <c r="J70" s="3" t="s">
        <v>102</v>
      </c>
      <c r="K70" s="3" t="s">
        <v>43</v>
      </c>
      <c r="L70" s="4">
        <v>3</v>
      </c>
      <c r="M70" s="3">
        <v>900</v>
      </c>
      <c r="N70" s="3">
        <v>1400</v>
      </c>
      <c r="O70" s="15">
        <f>Bike_Sales[[#This Row],[Order_Quantity]]*Bike_Sales[[#This Row],[Unit_Price]]</f>
        <v>4200</v>
      </c>
      <c r="P70" s="15">
        <f>Bike_Sales[[#This Row],[Order_Quantity]]*Bike_Sales[[#This Row],[Unit_Cost]]</f>
        <v>2700</v>
      </c>
      <c r="Q70" s="15">
        <f>Bike_Sales[[#This Row],[Total Sales]]-Bike_Sales[[#This Row],[Total Cost]]</f>
        <v>1500</v>
      </c>
      <c r="R70" s="17">
        <f>Bike_Sales[[#This Row],[Profit]]/Bike_Sales[[#This Row],[Total Sales]]</f>
        <v>0.35714285714285715</v>
      </c>
      <c r="S70" s="16" t="str">
        <f t="shared" si="1"/>
        <v>Under 25</v>
      </c>
    </row>
    <row r="71" spans="1:19" x14ac:dyDescent="0.35">
      <c r="A71" s="2">
        <v>44516</v>
      </c>
      <c r="B71" s="2" t="str">
        <f>TEXT(Bike_Sales[[#This Row],[Date]],"mmmm")</f>
        <v>November</v>
      </c>
      <c r="C71" s="19">
        <f>MONTH(Bike_Sales[[#This Row],[Date]])</f>
        <v>11</v>
      </c>
      <c r="D71" s="2" t="str">
        <f>TEXT(Bike_Sales[[#This Row],[Date]],"dddd")</f>
        <v>Tuesday</v>
      </c>
      <c r="E71" s="3">
        <v>23</v>
      </c>
      <c r="F71" s="3" t="s">
        <v>126</v>
      </c>
      <c r="G71" s="3" t="s">
        <v>9</v>
      </c>
      <c r="H71" s="3" t="s">
        <v>69</v>
      </c>
      <c r="I71" s="3" t="s">
        <v>11</v>
      </c>
      <c r="J71" s="3" t="s">
        <v>104</v>
      </c>
      <c r="K71" s="3" t="s">
        <v>27</v>
      </c>
      <c r="L71" s="4">
        <v>1</v>
      </c>
      <c r="M71" s="3">
        <v>530</v>
      </c>
      <c r="N71" s="3">
        <v>840</v>
      </c>
      <c r="O71" s="15">
        <f>Bike_Sales[[#This Row],[Order_Quantity]]*Bike_Sales[[#This Row],[Unit_Price]]</f>
        <v>840</v>
      </c>
      <c r="P71" s="15">
        <f>Bike_Sales[[#This Row],[Order_Quantity]]*Bike_Sales[[#This Row],[Unit_Cost]]</f>
        <v>530</v>
      </c>
      <c r="Q71" s="15">
        <f>Bike_Sales[[#This Row],[Total Sales]]-Bike_Sales[[#This Row],[Total Cost]]</f>
        <v>310</v>
      </c>
      <c r="R71" s="17">
        <f>Bike_Sales[[#This Row],[Profit]]/Bike_Sales[[#This Row],[Total Sales]]</f>
        <v>0.36904761904761907</v>
      </c>
      <c r="S71" s="16" t="str">
        <f t="shared" si="1"/>
        <v>Under 25</v>
      </c>
    </row>
    <row r="72" spans="1:19" x14ac:dyDescent="0.35">
      <c r="A72" s="2">
        <v>44518</v>
      </c>
      <c r="B72" s="2" t="str">
        <f>TEXT(Bike_Sales[[#This Row],[Date]],"mmmm")</f>
        <v>November</v>
      </c>
      <c r="C72" s="19">
        <f>MONTH(Bike_Sales[[#This Row],[Date]])</f>
        <v>11</v>
      </c>
      <c r="D72" s="2" t="str">
        <f>TEXT(Bike_Sales[[#This Row],[Date]],"dddd")</f>
        <v>Thursday</v>
      </c>
      <c r="E72" s="3">
        <v>23</v>
      </c>
      <c r="F72" s="3" t="s">
        <v>135</v>
      </c>
      <c r="G72" s="3" t="s">
        <v>9</v>
      </c>
      <c r="H72" s="3" t="s">
        <v>10</v>
      </c>
      <c r="I72" s="3" t="s">
        <v>11</v>
      </c>
      <c r="J72" s="3" t="s">
        <v>104</v>
      </c>
      <c r="K72" s="3" t="s">
        <v>68</v>
      </c>
      <c r="L72" s="4">
        <v>1</v>
      </c>
      <c r="M72" s="3">
        <v>500</v>
      </c>
      <c r="N72" s="3">
        <v>800</v>
      </c>
      <c r="O72" s="15">
        <f>Bike_Sales[[#This Row],[Order_Quantity]]*Bike_Sales[[#This Row],[Unit_Price]]</f>
        <v>800</v>
      </c>
      <c r="P72" s="15">
        <f>Bike_Sales[[#This Row],[Order_Quantity]]*Bike_Sales[[#This Row],[Unit_Cost]]</f>
        <v>500</v>
      </c>
      <c r="Q72" s="15">
        <f>Bike_Sales[[#This Row],[Total Sales]]-Bike_Sales[[#This Row],[Total Cost]]</f>
        <v>300</v>
      </c>
      <c r="R72" s="17">
        <f>Bike_Sales[[#This Row],[Profit]]/Bike_Sales[[#This Row],[Total Sales]]</f>
        <v>0.375</v>
      </c>
      <c r="S72" s="16" t="str">
        <f t="shared" si="1"/>
        <v>Under 25</v>
      </c>
    </row>
    <row r="73" spans="1:19" x14ac:dyDescent="0.35">
      <c r="A73" s="2">
        <v>44524</v>
      </c>
      <c r="B73" s="2" t="str">
        <f>TEXT(Bike_Sales[[#This Row],[Date]],"mmmm")</f>
        <v>November</v>
      </c>
      <c r="C73" s="19">
        <f>MONTH(Bike_Sales[[#This Row],[Date]])</f>
        <v>11</v>
      </c>
      <c r="D73" s="2" t="str">
        <f>TEXT(Bike_Sales[[#This Row],[Date]],"dddd")</f>
        <v>Wednesday</v>
      </c>
      <c r="E73" s="3">
        <v>23</v>
      </c>
      <c r="F73" s="3" t="s">
        <v>126</v>
      </c>
      <c r="G73" s="3" t="s">
        <v>9</v>
      </c>
      <c r="H73" s="3" t="s">
        <v>10</v>
      </c>
      <c r="I73" s="3" t="s">
        <v>16</v>
      </c>
      <c r="J73" s="3" t="s">
        <v>103</v>
      </c>
      <c r="K73" s="3" t="s">
        <v>22</v>
      </c>
      <c r="L73" s="4">
        <v>1</v>
      </c>
      <c r="M73" s="3">
        <v>550</v>
      </c>
      <c r="N73" s="3">
        <v>850</v>
      </c>
      <c r="O73" s="15">
        <f>Bike_Sales[[#This Row],[Order_Quantity]]*Bike_Sales[[#This Row],[Unit_Price]]</f>
        <v>850</v>
      </c>
      <c r="P73" s="15">
        <f>Bike_Sales[[#This Row],[Order_Quantity]]*Bike_Sales[[#This Row],[Unit_Cost]]</f>
        <v>550</v>
      </c>
      <c r="Q73" s="15">
        <f>Bike_Sales[[#This Row],[Total Sales]]-Bike_Sales[[#This Row],[Total Cost]]</f>
        <v>300</v>
      </c>
      <c r="R73" s="17">
        <f>Bike_Sales[[#This Row],[Profit]]/Bike_Sales[[#This Row],[Total Sales]]</f>
        <v>0.35294117647058826</v>
      </c>
      <c r="S73" s="16" t="str">
        <f t="shared" si="1"/>
        <v>Under 25</v>
      </c>
    </row>
    <row r="74" spans="1:19" x14ac:dyDescent="0.35">
      <c r="A74" s="2">
        <v>44524</v>
      </c>
      <c r="B74" s="2" t="str">
        <f>TEXT(Bike_Sales[[#This Row],[Date]],"mmmm")</f>
        <v>November</v>
      </c>
      <c r="C74" s="19">
        <f>MONTH(Bike_Sales[[#This Row],[Date]])</f>
        <v>11</v>
      </c>
      <c r="D74" s="2" t="str">
        <f>TEXT(Bike_Sales[[#This Row],[Date]],"dddd")</f>
        <v>Wednesday</v>
      </c>
      <c r="E74" s="3">
        <v>23</v>
      </c>
      <c r="F74" s="3" t="s">
        <v>126</v>
      </c>
      <c r="G74" s="3" t="s">
        <v>18</v>
      </c>
      <c r="H74" s="3" t="s">
        <v>24</v>
      </c>
      <c r="I74" s="3" t="s">
        <v>11</v>
      </c>
      <c r="J74" s="3" t="s">
        <v>101</v>
      </c>
      <c r="K74" s="3" t="s">
        <v>41</v>
      </c>
      <c r="L74" s="4">
        <v>1</v>
      </c>
      <c r="M74" s="3">
        <v>580</v>
      </c>
      <c r="N74" s="3">
        <v>920</v>
      </c>
      <c r="O74" s="15">
        <f>Bike_Sales[[#This Row],[Order_Quantity]]*Bike_Sales[[#This Row],[Unit_Price]]</f>
        <v>920</v>
      </c>
      <c r="P74" s="15">
        <f>Bike_Sales[[#This Row],[Order_Quantity]]*Bike_Sales[[#This Row],[Unit_Cost]]</f>
        <v>580</v>
      </c>
      <c r="Q74" s="15">
        <f>Bike_Sales[[#This Row],[Total Sales]]-Bike_Sales[[#This Row],[Total Cost]]</f>
        <v>340</v>
      </c>
      <c r="R74" s="17">
        <f>Bike_Sales[[#This Row],[Profit]]/Bike_Sales[[#This Row],[Total Sales]]</f>
        <v>0.36956521739130432</v>
      </c>
      <c r="S74" s="16" t="str">
        <f t="shared" si="1"/>
        <v>Under 25</v>
      </c>
    </row>
    <row r="75" spans="1:19" x14ac:dyDescent="0.35">
      <c r="A75" s="2">
        <v>44531</v>
      </c>
      <c r="B75" s="2" t="str">
        <f>TEXT(Bike_Sales[[#This Row],[Date]],"mmmm")</f>
        <v>December</v>
      </c>
      <c r="C75" s="19">
        <f>MONTH(Bike_Sales[[#This Row],[Date]])</f>
        <v>12</v>
      </c>
      <c r="D75" s="2" t="str">
        <f>TEXT(Bike_Sales[[#This Row],[Date]],"dddd")</f>
        <v>Wednesday</v>
      </c>
      <c r="E75" s="3">
        <v>23</v>
      </c>
      <c r="F75" s="3" t="s">
        <v>126</v>
      </c>
      <c r="G75" s="3" t="s">
        <v>129</v>
      </c>
      <c r="H75" s="3" t="s">
        <v>15</v>
      </c>
      <c r="I75" s="3" t="s">
        <v>11</v>
      </c>
      <c r="J75" s="3" t="s">
        <v>102</v>
      </c>
      <c r="K75" s="3" t="s">
        <v>29</v>
      </c>
      <c r="L75" s="4">
        <v>1</v>
      </c>
      <c r="M75" s="3">
        <v>900</v>
      </c>
      <c r="N75" s="3">
        <v>1400</v>
      </c>
      <c r="O75" s="15">
        <f>Bike_Sales[[#This Row],[Order_Quantity]]*Bike_Sales[[#This Row],[Unit_Price]]</f>
        <v>1400</v>
      </c>
      <c r="P75" s="15">
        <f>Bike_Sales[[#This Row],[Order_Quantity]]*Bike_Sales[[#This Row],[Unit_Cost]]</f>
        <v>900</v>
      </c>
      <c r="Q75" s="15">
        <f>Bike_Sales[[#This Row],[Total Sales]]-Bike_Sales[[#This Row],[Total Cost]]</f>
        <v>500</v>
      </c>
      <c r="R75" s="17">
        <f>Bike_Sales[[#This Row],[Profit]]/Bike_Sales[[#This Row],[Total Sales]]</f>
        <v>0.35714285714285715</v>
      </c>
      <c r="S75" s="16" t="str">
        <f t="shared" si="1"/>
        <v>Under 25</v>
      </c>
    </row>
    <row r="76" spans="1:19" x14ac:dyDescent="0.35">
      <c r="A76" s="2">
        <v>44531</v>
      </c>
      <c r="B76" s="2" t="str">
        <f>TEXT(Bike_Sales[[#This Row],[Date]],"mmmm")</f>
        <v>December</v>
      </c>
      <c r="C76" s="19">
        <f>MONTH(Bike_Sales[[#This Row],[Date]])</f>
        <v>12</v>
      </c>
      <c r="D76" s="2" t="str">
        <f>TEXT(Bike_Sales[[#This Row],[Date]],"dddd")</f>
        <v>Wednesday</v>
      </c>
      <c r="E76" s="3">
        <v>23</v>
      </c>
      <c r="F76" s="3" t="s">
        <v>135</v>
      </c>
      <c r="G76" s="3" t="s">
        <v>9</v>
      </c>
      <c r="H76" s="3" t="s">
        <v>10</v>
      </c>
      <c r="I76" s="3" t="s">
        <v>11</v>
      </c>
      <c r="J76" s="3" t="s">
        <v>104</v>
      </c>
      <c r="K76" s="3" t="s">
        <v>68</v>
      </c>
      <c r="L76" s="4">
        <v>1</v>
      </c>
      <c r="M76" s="3">
        <v>500</v>
      </c>
      <c r="N76" s="3">
        <v>800</v>
      </c>
      <c r="O76" s="15">
        <f>Bike_Sales[[#This Row],[Order_Quantity]]*Bike_Sales[[#This Row],[Unit_Price]]</f>
        <v>800</v>
      </c>
      <c r="P76" s="15">
        <f>Bike_Sales[[#This Row],[Order_Quantity]]*Bike_Sales[[#This Row],[Unit_Cost]]</f>
        <v>500</v>
      </c>
      <c r="Q76" s="15">
        <f>Bike_Sales[[#This Row],[Total Sales]]-Bike_Sales[[#This Row],[Total Cost]]</f>
        <v>300</v>
      </c>
      <c r="R76" s="17">
        <f>Bike_Sales[[#This Row],[Profit]]/Bike_Sales[[#This Row],[Total Sales]]</f>
        <v>0.375</v>
      </c>
      <c r="S76" s="16" t="str">
        <f t="shared" si="1"/>
        <v>Under 25</v>
      </c>
    </row>
    <row r="77" spans="1:19" x14ac:dyDescent="0.35">
      <c r="A77" s="2">
        <v>44536</v>
      </c>
      <c r="B77" s="2" t="str">
        <f>TEXT(Bike_Sales[[#This Row],[Date]],"mmmm")</f>
        <v>December</v>
      </c>
      <c r="C77" s="19">
        <f>MONTH(Bike_Sales[[#This Row],[Date]])</f>
        <v>12</v>
      </c>
      <c r="D77" s="2" t="str">
        <f>TEXT(Bike_Sales[[#This Row],[Date]],"dddd")</f>
        <v>Monday</v>
      </c>
      <c r="E77" s="3">
        <v>23</v>
      </c>
      <c r="F77" s="3" t="s">
        <v>126</v>
      </c>
      <c r="G77" s="3" t="s">
        <v>129</v>
      </c>
      <c r="H77" s="3" t="s">
        <v>15</v>
      </c>
      <c r="I77" s="3" t="s">
        <v>16</v>
      </c>
      <c r="J77" s="3" t="s">
        <v>103</v>
      </c>
      <c r="K77" s="3" t="s">
        <v>78</v>
      </c>
      <c r="L77" s="4">
        <v>3</v>
      </c>
      <c r="M77" s="3">
        <v>450</v>
      </c>
      <c r="N77" s="3">
        <v>720</v>
      </c>
      <c r="O77" s="15">
        <f>Bike_Sales[[#This Row],[Order_Quantity]]*Bike_Sales[[#This Row],[Unit_Price]]</f>
        <v>2160</v>
      </c>
      <c r="P77" s="15">
        <f>Bike_Sales[[#This Row],[Order_Quantity]]*Bike_Sales[[#This Row],[Unit_Cost]]</f>
        <v>1350</v>
      </c>
      <c r="Q77" s="15">
        <f>Bike_Sales[[#This Row],[Total Sales]]-Bike_Sales[[#This Row],[Total Cost]]</f>
        <v>810</v>
      </c>
      <c r="R77" s="17">
        <f>Bike_Sales[[#This Row],[Profit]]/Bike_Sales[[#This Row],[Total Sales]]</f>
        <v>0.375</v>
      </c>
      <c r="S77" s="16" t="str">
        <f t="shared" si="1"/>
        <v>Under 25</v>
      </c>
    </row>
    <row r="78" spans="1:19" x14ac:dyDescent="0.35">
      <c r="A78" s="2">
        <v>44536</v>
      </c>
      <c r="B78" s="2" t="str">
        <f>TEXT(Bike_Sales[[#This Row],[Date]],"mmmm")</f>
        <v>December</v>
      </c>
      <c r="C78" s="19">
        <f>MONTH(Bike_Sales[[#This Row],[Date]])</f>
        <v>12</v>
      </c>
      <c r="D78" s="2" t="str">
        <f>TEXT(Bike_Sales[[#This Row],[Date]],"dddd")</f>
        <v>Monday</v>
      </c>
      <c r="E78" s="3">
        <v>23</v>
      </c>
      <c r="F78" s="3" t="s">
        <v>126</v>
      </c>
      <c r="G78" s="3" t="s">
        <v>39</v>
      </c>
      <c r="H78" s="3" t="s">
        <v>76</v>
      </c>
      <c r="I78" s="3" t="s">
        <v>11</v>
      </c>
      <c r="J78" s="3" t="s">
        <v>102</v>
      </c>
      <c r="K78" s="3" t="s">
        <v>26</v>
      </c>
      <c r="L78" s="4">
        <v>2</v>
      </c>
      <c r="M78" s="3">
        <v>900</v>
      </c>
      <c r="N78" s="3">
        <v>1400</v>
      </c>
      <c r="O78" s="15">
        <f>Bike_Sales[[#This Row],[Order_Quantity]]*Bike_Sales[[#This Row],[Unit_Price]]</f>
        <v>2800</v>
      </c>
      <c r="P78" s="15">
        <f>Bike_Sales[[#This Row],[Order_Quantity]]*Bike_Sales[[#This Row],[Unit_Cost]]</f>
        <v>1800</v>
      </c>
      <c r="Q78" s="15">
        <f>Bike_Sales[[#This Row],[Total Sales]]-Bike_Sales[[#This Row],[Total Cost]]</f>
        <v>1000</v>
      </c>
      <c r="R78" s="17">
        <f>Bike_Sales[[#This Row],[Profit]]/Bike_Sales[[#This Row],[Total Sales]]</f>
        <v>0.35714285714285715</v>
      </c>
      <c r="S78" s="16" t="str">
        <f t="shared" si="1"/>
        <v>Under 25</v>
      </c>
    </row>
    <row r="79" spans="1:19" x14ac:dyDescent="0.35">
      <c r="A79" s="2">
        <v>44540</v>
      </c>
      <c r="B79" s="2" t="str">
        <f>TEXT(Bike_Sales[[#This Row],[Date]],"mmmm")</f>
        <v>December</v>
      </c>
      <c r="C79" s="19">
        <f>MONTH(Bike_Sales[[#This Row],[Date]])</f>
        <v>12</v>
      </c>
      <c r="D79" s="2" t="str">
        <f>TEXT(Bike_Sales[[#This Row],[Date]],"dddd")</f>
        <v>Friday</v>
      </c>
      <c r="E79" s="3">
        <v>23</v>
      </c>
      <c r="F79" s="3" t="s">
        <v>135</v>
      </c>
      <c r="G79" s="3" t="s">
        <v>9</v>
      </c>
      <c r="H79" s="3" t="s">
        <v>37</v>
      </c>
      <c r="I79" s="3" t="s">
        <v>11</v>
      </c>
      <c r="J79" s="3" t="s">
        <v>102</v>
      </c>
      <c r="K79" s="3" t="s">
        <v>43</v>
      </c>
      <c r="L79" s="4">
        <v>1</v>
      </c>
      <c r="M79" s="3">
        <v>900</v>
      </c>
      <c r="N79" s="3">
        <v>1400</v>
      </c>
      <c r="O79" s="15">
        <f>Bike_Sales[[#This Row],[Order_Quantity]]*Bike_Sales[[#This Row],[Unit_Price]]</f>
        <v>1400</v>
      </c>
      <c r="P79" s="15">
        <f>Bike_Sales[[#This Row],[Order_Quantity]]*Bike_Sales[[#This Row],[Unit_Cost]]</f>
        <v>900</v>
      </c>
      <c r="Q79" s="15">
        <f>Bike_Sales[[#This Row],[Total Sales]]-Bike_Sales[[#This Row],[Total Cost]]</f>
        <v>500</v>
      </c>
      <c r="R79" s="17">
        <f>Bike_Sales[[#This Row],[Profit]]/Bike_Sales[[#This Row],[Total Sales]]</f>
        <v>0.35714285714285715</v>
      </c>
      <c r="S79" s="16" t="str">
        <f t="shared" si="1"/>
        <v>Under 25</v>
      </c>
    </row>
    <row r="80" spans="1:19" x14ac:dyDescent="0.35">
      <c r="A80" s="2">
        <v>44542</v>
      </c>
      <c r="B80" s="2" t="str">
        <f>TEXT(Bike_Sales[[#This Row],[Date]],"mmmm")</f>
        <v>December</v>
      </c>
      <c r="C80" s="19">
        <f>MONTH(Bike_Sales[[#This Row],[Date]])</f>
        <v>12</v>
      </c>
      <c r="D80" s="2" t="str">
        <f>TEXT(Bike_Sales[[#This Row],[Date]],"dddd")</f>
        <v>Sunday</v>
      </c>
      <c r="E80" s="3">
        <v>23</v>
      </c>
      <c r="F80" s="3" t="s">
        <v>126</v>
      </c>
      <c r="G80" s="3" t="s">
        <v>9</v>
      </c>
      <c r="H80" s="3" t="s">
        <v>37</v>
      </c>
      <c r="I80" s="3" t="s">
        <v>11</v>
      </c>
      <c r="J80" s="3" t="s">
        <v>101</v>
      </c>
      <c r="K80" s="3" t="s">
        <v>44</v>
      </c>
      <c r="L80" s="4">
        <v>2</v>
      </c>
      <c r="M80" s="3">
        <v>700</v>
      </c>
      <c r="N80" s="3">
        <v>1100</v>
      </c>
      <c r="O80" s="15">
        <f>Bike_Sales[[#This Row],[Order_Quantity]]*Bike_Sales[[#This Row],[Unit_Price]]</f>
        <v>2200</v>
      </c>
      <c r="P80" s="15">
        <f>Bike_Sales[[#This Row],[Order_Quantity]]*Bike_Sales[[#This Row],[Unit_Cost]]</f>
        <v>1400</v>
      </c>
      <c r="Q80" s="15">
        <f>Bike_Sales[[#This Row],[Total Sales]]-Bike_Sales[[#This Row],[Total Cost]]</f>
        <v>800</v>
      </c>
      <c r="R80" s="17">
        <f>Bike_Sales[[#This Row],[Profit]]/Bike_Sales[[#This Row],[Total Sales]]</f>
        <v>0.36363636363636365</v>
      </c>
      <c r="S80" s="16" t="str">
        <f t="shared" si="1"/>
        <v>Under 25</v>
      </c>
    </row>
    <row r="81" spans="1:19" x14ac:dyDescent="0.35">
      <c r="A81" s="2">
        <v>44545</v>
      </c>
      <c r="B81" s="2" t="str">
        <f>TEXT(Bike_Sales[[#This Row],[Date]],"mmmm")</f>
        <v>December</v>
      </c>
      <c r="C81" s="19">
        <f>MONTH(Bike_Sales[[#This Row],[Date]])</f>
        <v>12</v>
      </c>
      <c r="D81" s="2" t="str">
        <f>TEXT(Bike_Sales[[#This Row],[Date]],"dddd")</f>
        <v>Wednesday</v>
      </c>
      <c r="E81" s="3">
        <v>23</v>
      </c>
      <c r="F81" s="3" t="s">
        <v>126</v>
      </c>
      <c r="G81" s="3" t="s">
        <v>129</v>
      </c>
      <c r="H81" s="3" t="s">
        <v>15</v>
      </c>
      <c r="I81" s="3" t="s">
        <v>11</v>
      </c>
      <c r="J81" s="3" t="s">
        <v>102</v>
      </c>
      <c r="K81" s="3" t="s">
        <v>29</v>
      </c>
      <c r="L81" s="4">
        <v>4</v>
      </c>
      <c r="M81" s="3">
        <v>900</v>
      </c>
      <c r="N81" s="3">
        <v>1400</v>
      </c>
      <c r="O81" s="15">
        <f>Bike_Sales[[#This Row],[Order_Quantity]]*Bike_Sales[[#This Row],[Unit_Price]]</f>
        <v>5600</v>
      </c>
      <c r="P81" s="15">
        <f>Bike_Sales[[#This Row],[Order_Quantity]]*Bike_Sales[[#This Row],[Unit_Cost]]</f>
        <v>3600</v>
      </c>
      <c r="Q81" s="15">
        <f>Bike_Sales[[#This Row],[Total Sales]]-Bike_Sales[[#This Row],[Total Cost]]</f>
        <v>2000</v>
      </c>
      <c r="R81" s="17">
        <f>Bike_Sales[[#This Row],[Profit]]/Bike_Sales[[#This Row],[Total Sales]]</f>
        <v>0.35714285714285715</v>
      </c>
      <c r="S81" s="16" t="str">
        <f t="shared" si="1"/>
        <v>Under 25</v>
      </c>
    </row>
    <row r="82" spans="1:19" x14ac:dyDescent="0.35">
      <c r="A82" s="2">
        <v>44551</v>
      </c>
      <c r="B82" s="2" t="str">
        <f>TEXT(Bike_Sales[[#This Row],[Date]],"mmmm")</f>
        <v>December</v>
      </c>
      <c r="C82" s="19">
        <f>MONTH(Bike_Sales[[#This Row],[Date]])</f>
        <v>12</v>
      </c>
      <c r="D82" s="2" t="str">
        <f>TEXT(Bike_Sales[[#This Row],[Date]],"dddd")</f>
        <v>Tuesday</v>
      </c>
      <c r="E82" s="3">
        <v>23</v>
      </c>
      <c r="F82" s="3" t="s">
        <v>126</v>
      </c>
      <c r="G82" s="3" t="s">
        <v>129</v>
      </c>
      <c r="H82" s="3" t="s">
        <v>15</v>
      </c>
      <c r="I82" s="3" t="s">
        <v>16</v>
      </c>
      <c r="J82" s="3" t="s">
        <v>103</v>
      </c>
      <c r="K82" s="3" t="s">
        <v>78</v>
      </c>
      <c r="L82" s="4">
        <v>2</v>
      </c>
      <c r="M82" s="3">
        <v>450</v>
      </c>
      <c r="N82" s="3">
        <v>720</v>
      </c>
      <c r="O82" s="15">
        <f>Bike_Sales[[#This Row],[Order_Quantity]]*Bike_Sales[[#This Row],[Unit_Price]]</f>
        <v>1440</v>
      </c>
      <c r="P82" s="15">
        <f>Bike_Sales[[#This Row],[Order_Quantity]]*Bike_Sales[[#This Row],[Unit_Cost]]</f>
        <v>900</v>
      </c>
      <c r="Q82" s="15">
        <f>Bike_Sales[[#This Row],[Total Sales]]-Bike_Sales[[#This Row],[Total Cost]]</f>
        <v>540</v>
      </c>
      <c r="R82" s="17">
        <f>Bike_Sales[[#This Row],[Profit]]/Bike_Sales[[#This Row],[Total Sales]]</f>
        <v>0.375</v>
      </c>
      <c r="S82" s="16" t="str">
        <f t="shared" si="1"/>
        <v>Under 25</v>
      </c>
    </row>
    <row r="83" spans="1:19" x14ac:dyDescent="0.35">
      <c r="A83" s="2">
        <v>44553</v>
      </c>
      <c r="B83" s="2" t="str">
        <f>TEXT(Bike_Sales[[#This Row],[Date]],"mmmm")</f>
        <v>December</v>
      </c>
      <c r="C83" s="19">
        <f>MONTH(Bike_Sales[[#This Row],[Date]])</f>
        <v>12</v>
      </c>
      <c r="D83" s="2" t="str">
        <f>TEXT(Bike_Sales[[#This Row],[Date]],"dddd")</f>
        <v>Thursday</v>
      </c>
      <c r="E83" s="3">
        <v>23</v>
      </c>
      <c r="F83" s="3" t="s">
        <v>126</v>
      </c>
      <c r="G83" s="3" t="s">
        <v>9</v>
      </c>
      <c r="H83" s="3" t="s">
        <v>69</v>
      </c>
      <c r="I83" s="3" t="s">
        <v>11</v>
      </c>
      <c r="J83" s="3" t="s">
        <v>104</v>
      </c>
      <c r="K83" s="3" t="s">
        <v>27</v>
      </c>
      <c r="L83" s="4">
        <v>3</v>
      </c>
      <c r="M83" s="3">
        <v>530</v>
      </c>
      <c r="N83" s="3">
        <v>840</v>
      </c>
      <c r="O83" s="15">
        <f>Bike_Sales[[#This Row],[Order_Quantity]]*Bike_Sales[[#This Row],[Unit_Price]]</f>
        <v>2520</v>
      </c>
      <c r="P83" s="15">
        <f>Bike_Sales[[#This Row],[Order_Quantity]]*Bike_Sales[[#This Row],[Unit_Cost]]</f>
        <v>1590</v>
      </c>
      <c r="Q83" s="15">
        <f>Bike_Sales[[#This Row],[Total Sales]]-Bike_Sales[[#This Row],[Total Cost]]</f>
        <v>930</v>
      </c>
      <c r="R83" s="17">
        <f>Bike_Sales[[#This Row],[Profit]]/Bike_Sales[[#This Row],[Total Sales]]</f>
        <v>0.36904761904761907</v>
      </c>
      <c r="S83" s="16" t="str">
        <f t="shared" si="1"/>
        <v>Under 25</v>
      </c>
    </row>
    <row r="84" spans="1:19" x14ac:dyDescent="0.35">
      <c r="A84" s="2">
        <v>44559</v>
      </c>
      <c r="B84" s="2" t="str">
        <f>TEXT(Bike_Sales[[#This Row],[Date]],"mmmm")</f>
        <v>December</v>
      </c>
      <c r="C84" s="19">
        <f>MONTH(Bike_Sales[[#This Row],[Date]])</f>
        <v>12</v>
      </c>
      <c r="D84" s="2" t="str">
        <f>TEXT(Bike_Sales[[#This Row],[Date]],"dddd")</f>
        <v>Wednesday</v>
      </c>
      <c r="E84" s="3">
        <v>23</v>
      </c>
      <c r="F84" s="3" t="s">
        <v>135</v>
      </c>
      <c r="G84" s="3" t="s">
        <v>33</v>
      </c>
      <c r="H84" s="3" t="s">
        <v>73</v>
      </c>
      <c r="I84" s="3" t="s">
        <v>11</v>
      </c>
      <c r="J84" s="3" t="s">
        <v>102</v>
      </c>
      <c r="K84" s="3" t="s">
        <v>62</v>
      </c>
      <c r="L84" s="4">
        <v>3</v>
      </c>
      <c r="M84" s="3">
        <v>580</v>
      </c>
      <c r="N84" s="3">
        <v>920</v>
      </c>
      <c r="O84" s="15">
        <f>Bike_Sales[[#This Row],[Order_Quantity]]*Bike_Sales[[#This Row],[Unit_Price]]</f>
        <v>2760</v>
      </c>
      <c r="P84" s="15">
        <f>Bike_Sales[[#This Row],[Order_Quantity]]*Bike_Sales[[#This Row],[Unit_Cost]]</f>
        <v>1740</v>
      </c>
      <c r="Q84" s="15">
        <f>Bike_Sales[[#This Row],[Total Sales]]-Bike_Sales[[#This Row],[Total Cost]]</f>
        <v>1020</v>
      </c>
      <c r="R84" s="17">
        <f>Bike_Sales[[#This Row],[Profit]]/Bike_Sales[[#This Row],[Total Sales]]</f>
        <v>0.36956521739130432</v>
      </c>
      <c r="S84" s="16" t="str">
        <f t="shared" si="1"/>
        <v>Under 25</v>
      </c>
    </row>
    <row r="85" spans="1:19" x14ac:dyDescent="0.35">
      <c r="A85" s="2">
        <v>44559</v>
      </c>
      <c r="B85" s="2" t="str">
        <f>TEXT(Bike_Sales[[#This Row],[Date]],"mmmm")</f>
        <v>December</v>
      </c>
      <c r="C85" s="19">
        <f>MONTH(Bike_Sales[[#This Row],[Date]])</f>
        <v>12</v>
      </c>
      <c r="D85" s="2" t="str">
        <f>TEXT(Bike_Sales[[#This Row],[Date]],"dddd")</f>
        <v>Wednesday</v>
      </c>
      <c r="E85" s="3">
        <v>23</v>
      </c>
      <c r="F85" s="3" t="s">
        <v>135</v>
      </c>
      <c r="G85" s="3" t="s">
        <v>39</v>
      </c>
      <c r="H85" s="3" t="s">
        <v>80</v>
      </c>
      <c r="I85" s="3" t="s">
        <v>11</v>
      </c>
      <c r="J85" s="3" t="s">
        <v>102</v>
      </c>
      <c r="K85" s="3" t="s">
        <v>29</v>
      </c>
      <c r="L85" s="4">
        <v>1</v>
      </c>
      <c r="M85" s="3">
        <v>900</v>
      </c>
      <c r="N85" s="3">
        <v>1400</v>
      </c>
      <c r="O85" s="15">
        <f>Bike_Sales[[#This Row],[Order_Quantity]]*Bike_Sales[[#This Row],[Unit_Price]]</f>
        <v>1400</v>
      </c>
      <c r="P85" s="15">
        <f>Bike_Sales[[#This Row],[Order_Quantity]]*Bike_Sales[[#This Row],[Unit_Cost]]</f>
        <v>900</v>
      </c>
      <c r="Q85" s="15">
        <f>Bike_Sales[[#This Row],[Total Sales]]-Bike_Sales[[#This Row],[Total Cost]]</f>
        <v>500</v>
      </c>
      <c r="R85" s="17">
        <f>Bike_Sales[[#This Row],[Profit]]/Bike_Sales[[#This Row],[Total Sales]]</f>
        <v>0.35714285714285715</v>
      </c>
      <c r="S85" s="16" t="str">
        <f t="shared" si="1"/>
        <v>Under 25</v>
      </c>
    </row>
    <row r="86" spans="1:19" x14ac:dyDescent="0.35">
      <c r="A86" s="2">
        <v>44560</v>
      </c>
      <c r="B86" s="2" t="str">
        <f>TEXT(Bike_Sales[[#This Row],[Date]],"mmmm")</f>
        <v>December</v>
      </c>
      <c r="C86" s="19">
        <f>MONTH(Bike_Sales[[#This Row],[Date]])</f>
        <v>12</v>
      </c>
      <c r="D86" s="2" t="str">
        <f>TEXT(Bike_Sales[[#This Row],[Date]],"dddd")</f>
        <v>Thursday</v>
      </c>
      <c r="E86" s="3">
        <v>23</v>
      </c>
      <c r="F86" s="3" t="s">
        <v>126</v>
      </c>
      <c r="G86" s="3" t="s">
        <v>129</v>
      </c>
      <c r="H86" s="3" t="s">
        <v>15</v>
      </c>
      <c r="I86" s="3" t="s">
        <v>11</v>
      </c>
      <c r="J86" s="3" t="s">
        <v>102</v>
      </c>
      <c r="K86" s="3" t="s">
        <v>29</v>
      </c>
      <c r="L86" s="4">
        <v>3</v>
      </c>
      <c r="M86" s="3">
        <v>900</v>
      </c>
      <c r="N86" s="3">
        <v>1400</v>
      </c>
      <c r="O86" s="15">
        <f>Bike_Sales[[#This Row],[Order_Quantity]]*Bike_Sales[[#This Row],[Unit_Price]]</f>
        <v>4200</v>
      </c>
      <c r="P86" s="15">
        <f>Bike_Sales[[#This Row],[Order_Quantity]]*Bike_Sales[[#This Row],[Unit_Cost]]</f>
        <v>2700</v>
      </c>
      <c r="Q86" s="15">
        <f>Bike_Sales[[#This Row],[Total Sales]]-Bike_Sales[[#This Row],[Total Cost]]</f>
        <v>1500</v>
      </c>
      <c r="R86" s="17">
        <f>Bike_Sales[[#This Row],[Profit]]/Bike_Sales[[#This Row],[Total Sales]]</f>
        <v>0.35714285714285715</v>
      </c>
      <c r="S86" s="16" t="str">
        <f t="shared" si="1"/>
        <v>Under 25</v>
      </c>
    </row>
    <row r="87" spans="1:19" x14ac:dyDescent="0.35">
      <c r="A87" s="2">
        <v>44475</v>
      </c>
      <c r="B87" s="2" t="str">
        <f>TEXT(Bike_Sales[[#This Row],[Date]],"mmmm")</f>
        <v>October</v>
      </c>
      <c r="C87" s="19">
        <f>MONTH(Bike_Sales[[#This Row],[Date]])</f>
        <v>10</v>
      </c>
      <c r="D87" s="2" t="str">
        <f>TEXT(Bike_Sales[[#This Row],[Date]],"dddd")</f>
        <v>Wednesday</v>
      </c>
      <c r="E87" s="3">
        <v>24</v>
      </c>
      <c r="F87" s="3" t="s">
        <v>135</v>
      </c>
      <c r="G87" s="3" t="s">
        <v>18</v>
      </c>
      <c r="H87" s="3" t="s">
        <v>35</v>
      </c>
      <c r="I87" s="3" t="s">
        <v>11</v>
      </c>
      <c r="J87" s="3" t="s">
        <v>104</v>
      </c>
      <c r="K87" s="3" t="s">
        <v>12</v>
      </c>
      <c r="L87" s="4">
        <v>2</v>
      </c>
      <c r="M87" s="3">
        <v>500</v>
      </c>
      <c r="N87" s="3">
        <v>800</v>
      </c>
      <c r="O87" s="15">
        <f>Bike_Sales[[#This Row],[Order_Quantity]]*Bike_Sales[[#This Row],[Unit_Price]]</f>
        <v>1600</v>
      </c>
      <c r="P87" s="15">
        <f>Bike_Sales[[#This Row],[Order_Quantity]]*Bike_Sales[[#This Row],[Unit_Cost]]</f>
        <v>1000</v>
      </c>
      <c r="Q87" s="15">
        <f>Bike_Sales[[#This Row],[Total Sales]]-Bike_Sales[[#This Row],[Total Cost]]</f>
        <v>600</v>
      </c>
      <c r="R87" s="17">
        <f>Bike_Sales[[#This Row],[Profit]]/Bike_Sales[[#This Row],[Total Sales]]</f>
        <v>0.375</v>
      </c>
      <c r="S87" s="16" t="str">
        <f t="shared" si="1"/>
        <v>Under 25</v>
      </c>
    </row>
    <row r="88" spans="1:19" x14ac:dyDescent="0.35">
      <c r="A88" s="2">
        <v>44484</v>
      </c>
      <c r="B88" s="2" t="str">
        <f>TEXT(Bike_Sales[[#This Row],[Date]],"mmmm")</f>
        <v>October</v>
      </c>
      <c r="C88" s="19">
        <f>MONTH(Bike_Sales[[#This Row],[Date]])</f>
        <v>10</v>
      </c>
      <c r="D88" s="2" t="str">
        <f>TEXT(Bike_Sales[[#This Row],[Date]],"dddd")</f>
        <v>Friday</v>
      </c>
      <c r="E88" s="3">
        <v>24</v>
      </c>
      <c r="F88" s="3" t="s">
        <v>135</v>
      </c>
      <c r="G88" s="3" t="s">
        <v>18</v>
      </c>
      <c r="H88" s="3" t="s">
        <v>63</v>
      </c>
      <c r="I88" s="3" t="s">
        <v>11</v>
      </c>
      <c r="J88" s="3" t="s">
        <v>104</v>
      </c>
      <c r="K88" s="3" t="s">
        <v>34</v>
      </c>
      <c r="L88" s="4">
        <v>3</v>
      </c>
      <c r="M88" s="3">
        <v>500</v>
      </c>
      <c r="N88" s="3">
        <v>800</v>
      </c>
      <c r="O88" s="15">
        <f>Bike_Sales[[#This Row],[Order_Quantity]]*Bike_Sales[[#This Row],[Unit_Price]]</f>
        <v>2400</v>
      </c>
      <c r="P88" s="15">
        <f>Bike_Sales[[#This Row],[Order_Quantity]]*Bike_Sales[[#This Row],[Unit_Cost]]</f>
        <v>1500</v>
      </c>
      <c r="Q88" s="15">
        <f>Bike_Sales[[#This Row],[Total Sales]]-Bike_Sales[[#This Row],[Total Cost]]</f>
        <v>900</v>
      </c>
      <c r="R88" s="17">
        <f>Bike_Sales[[#This Row],[Profit]]/Bike_Sales[[#This Row],[Total Sales]]</f>
        <v>0.375</v>
      </c>
      <c r="S88" s="16" t="str">
        <f t="shared" si="1"/>
        <v>Under 25</v>
      </c>
    </row>
    <row r="89" spans="1:19" x14ac:dyDescent="0.35">
      <c r="A89" s="2">
        <v>44494</v>
      </c>
      <c r="B89" s="2" t="str">
        <f>TEXT(Bike_Sales[[#This Row],[Date]],"mmmm")</f>
        <v>October</v>
      </c>
      <c r="C89" s="19">
        <f>MONTH(Bike_Sales[[#This Row],[Date]])</f>
        <v>10</v>
      </c>
      <c r="D89" s="2" t="str">
        <f>TEXT(Bike_Sales[[#This Row],[Date]],"dddd")</f>
        <v>Monday</v>
      </c>
      <c r="E89" s="3">
        <v>24</v>
      </c>
      <c r="F89" s="3" t="s">
        <v>135</v>
      </c>
      <c r="G89" s="3" t="s">
        <v>18</v>
      </c>
      <c r="H89" s="3" t="s">
        <v>19</v>
      </c>
      <c r="I89" s="3" t="s">
        <v>11</v>
      </c>
      <c r="J89" s="3" t="s">
        <v>104</v>
      </c>
      <c r="K89" s="3" t="s">
        <v>68</v>
      </c>
      <c r="L89" s="4">
        <v>1</v>
      </c>
      <c r="M89" s="3">
        <v>500</v>
      </c>
      <c r="N89" s="3">
        <v>800</v>
      </c>
      <c r="O89" s="15">
        <f>Bike_Sales[[#This Row],[Order_Quantity]]*Bike_Sales[[#This Row],[Unit_Price]]</f>
        <v>800</v>
      </c>
      <c r="P89" s="15">
        <f>Bike_Sales[[#This Row],[Order_Quantity]]*Bike_Sales[[#This Row],[Unit_Cost]]</f>
        <v>500</v>
      </c>
      <c r="Q89" s="15">
        <f>Bike_Sales[[#This Row],[Total Sales]]-Bike_Sales[[#This Row],[Total Cost]]</f>
        <v>300</v>
      </c>
      <c r="R89" s="17">
        <f>Bike_Sales[[#This Row],[Profit]]/Bike_Sales[[#This Row],[Total Sales]]</f>
        <v>0.375</v>
      </c>
      <c r="S89" s="16" t="str">
        <f t="shared" si="1"/>
        <v>Under 25</v>
      </c>
    </row>
    <row r="90" spans="1:19" x14ac:dyDescent="0.35">
      <c r="A90" s="2">
        <v>44503</v>
      </c>
      <c r="B90" s="2" t="str">
        <f>TEXT(Bike_Sales[[#This Row],[Date]],"mmmm")</f>
        <v>November</v>
      </c>
      <c r="C90" s="19">
        <f>MONTH(Bike_Sales[[#This Row],[Date]])</f>
        <v>11</v>
      </c>
      <c r="D90" s="2" t="str">
        <f>TEXT(Bike_Sales[[#This Row],[Date]],"dddd")</f>
        <v>Wednesday</v>
      </c>
      <c r="E90" s="3">
        <v>24</v>
      </c>
      <c r="F90" s="3" t="s">
        <v>135</v>
      </c>
      <c r="G90" s="3" t="s">
        <v>18</v>
      </c>
      <c r="H90" s="3" t="s">
        <v>24</v>
      </c>
      <c r="I90" s="3" t="s">
        <v>11</v>
      </c>
      <c r="J90" s="3" t="s">
        <v>101</v>
      </c>
      <c r="K90" s="3" t="s">
        <v>46</v>
      </c>
      <c r="L90" s="4">
        <v>2</v>
      </c>
      <c r="M90" s="3">
        <v>580</v>
      </c>
      <c r="N90" s="3">
        <v>920</v>
      </c>
      <c r="O90" s="15">
        <f>Bike_Sales[[#This Row],[Order_Quantity]]*Bike_Sales[[#This Row],[Unit_Price]]</f>
        <v>1840</v>
      </c>
      <c r="P90" s="15">
        <f>Bike_Sales[[#This Row],[Order_Quantity]]*Bike_Sales[[#This Row],[Unit_Cost]]</f>
        <v>1160</v>
      </c>
      <c r="Q90" s="15">
        <f>Bike_Sales[[#This Row],[Total Sales]]-Bike_Sales[[#This Row],[Total Cost]]</f>
        <v>680</v>
      </c>
      <c r="R90" s="17">
        <f>Bike_Sales[[#This Row],[Profit]]/Bike_Sales[[#This Row],[Total Sales]]</f>
        <v>0.36956521739130432</v>
      </c>
      <c r="S90" s="16" t="str">
        <f t="shared" si="1"/>
        <v>Under 25</v>
      </c>
    </row>
    <row r="91" spans="1:19" x14ac:dyDescent="0.35">
      <c r="A91" s="2">
        <v>44505</v>
      </c>
      <c r="B91" s="2" t="str">
        <f>TEXT(Bike_Sales[[#This Row],[Date]],"mmmm")</f>
        <v>November</v>
      </c>
      <c r="C91" s="19">
        <f>MONTH(Bike_Sales[[#This Row],[Date]])</f>
        <v>11</v>
      </c>
      <c r="D91" s="2" t="str">
        <f>TEXT(Bike_Sales[[#This Row],[Date]],"dddd")</f>
        <v>Friday</v>
      </c>
      <c r="E91" s="3">
        <v>24</v>
      </c>
      <c r="F91" s="3" t="s">
        <v>135</v>
      </c>
      <c r="G91" s="3" t="s">
        <v>33</v>
      </c>
      <c r="H91" s="3" t="s">
        <v>136</v>
      </c>
      <c r="I91" s="3" t="s">
        <v>11</v>
      </c>
      <c r="J91" s="3" t="s">
        <v>104</v>
      </c>
      <c r="K91" s="3" t="s">
        <v>68</v>
      </c>
      <c r="L91" s="4">
        <v>2</v>
      </c>
      <c r="M91" s="3">
        <v>500</v>
      </c>
      <c r="N91" s="3">
        <v>800</v>
      </c>
      <c r="O91" s="15">
        <f>Bike_Sales[[#This Row],[Order_Quantity]]*Bike_Sales[[#This Row],[Unit_Price]]</f>
        <v>1600</v>
      </c>
      <c r="P91" s="15">
        <f>Bike_Sales[[#This Row],[Order_Quantity]]*Bike_Sales[[#This Row],[Unit_Cost]]</f>
        <v>1000</v>
      </c>
      <c r="Q91" s="15">
        <f>Bike_Sales[[#This Row],[Total Sales]]-Bike_Sales[[#This Row],[Total Cost]]</f>
        <v>600</v>
      </c>
      <c r="R91" s="17">
        <f>Bike_Sales[[#This Row],[Profit]]/Bike_Sales[[#This Row],[Total Sales]]</f>
        <v>0.375</v>
      </c>
      <c r="S91" s="16" t="str">
        <f t="shared" si="1"/>
        <v>Under 25</v>
      </c>
    </row>
    <row r="92" spans="1:19" x14ac:dyDescent="0.35">
      <c r="A92" s="2">
        <v>44506</v>
      </c>
      <c r="B92" s="2" t="str">
        <f>TEXT(Bike_Sales[[#This Row],[Date]],"mmmm")</f>
        <v>November</v>
      </c>
      <c r="C92" s="19">
        <f>MONTH(Bike_Sales[[#This Row],[Date]])</f>
        <v>11</v>
      </c>
      <c r="D92" s="2" t="str">
        <f>TEXT(Bike_Sales[[#This Row],[Date]],"dddd")</f>
        <v>Saturday</v>
      </c>
      <c r="E92" s="3">
        <v>24</v>
      </c>
      <c r="F92" s="3" t="s">
        <v>135</v>
      </c>
      <c r="G92" s="3" t="s">
        <v>39</v>
      </c>
      <c r="H92" s="3" t="s">
        <v>130</v>
      </c>
      <c r="I92" s="3" t="s">
        <v>11</v>
      </c>
      <c r="J92" s="3" t="s">
        <v>102</v>
      </c>
      <c r="K92" s="3" t="s">
        <v>36</v>
      </c>
      <c r="L92" s="4">
        <v>3</v>
      </c>
      <c r="M92" s="3">
        <v>580</v>
      </c>
      <c r="N92" s="3">
        <v>920</v>
      </c>
      <c r="O92" s="15">
        <f>Bike_Sales[[#This Row],[Order_Quantity]]*Bike_Sales[[#This Row],[Unit_Price]]</f>
        <v>2760</v>
      </c>
      <c r="P92" s="15">
        <f>Bike_Sales[[#This Row],[Order_Quantity]]*Bike_Sales[[#This Row],[Unit_Cost]]</f>
        <v>1740</v>
      </c>
      <c r="Q92" s="15">
        <f>Bike_Sales[[#This Row],[Total Sales]]-Bike_Sales[[#This Row],[Total Cost]]</f>
        <v>1020</v>
      </c>
      <c r="R92" s="17">
        <f>Bike_Sales[[#This Row],[Profit]]/Bike_Sales[[#This Row],[Total Sales]]</f>
        <v>0.36956521739130432</v>
      </c>
      <c r="S92" s="16" t="str">
        <f t="shared" si="1"/>
        <v>Under 25</v>
      </c>
    </row>
    <row r="93" spans="1:19" x14ac:dyDescent="0.35">
      <c r="A93" s="2">
        <v>44506</v>
      </c>
      <c r="B93" s="2" t="str">
        <f>TEXT(Bike_Sales[[#This Row],[Date]],"mmmm")</f>
        <v>November</v>
      </c>
      <c r="C93" s="19">
        <f>MONTH(Bike_Sales[[#This Row],[Date]])</f>
        <v>11</v>
      </c>
      <c r="D93" s="2" t="str">
        <f>TEXT(Bike_Sales[[#This Row],[Date]],"dddd")</f>
        <v>Saturday</v>
      </c>
      <c r="E93" s="3">
        <v>24</v>
      </c>
      <c r="F93" s="3" t="s">
        <v>135</v>
      </c>
      <c r="G93" s="3" t="s">
        <v>18</v>
      </c>
      <c r="H93" s="3" t="s">
        <v>35</v>
      </c>
      <c r="I93" s="3" t="s">
        <v>11</v>
      </c>
      <c r="J93" s="3" t="s">
        <v>104</v>
      </c>
      <c r="K93" s="3" t="s">
        <v>12</v>
      </c>
      <c r="L93" s="4">
        <v>1</v>
      </c>
      <c r="M93" s="3">
        <v>500</v>
      </c>
      <c r="N93" s="3">
        <v>800</v>
      </c>
      <c r="O93" s="15">
        <f>Bike_Sales[[#This Row],[Order_Quantity]]*Bike_Sales[[#This Row],[Unit_Price]]</f>
        <v>800</v>
      </c>
      <c r="P93" s="15">
        <f>Bike_Sales[[#This Row],[Order_Quantity]]*Bike_Sales[[#This Row],[Unit_Cost]]</f>
        <v>500</v>
      </c>
      <c r="Q93" s="15">
        <f>Bike_Sales[[#This Row],[Total Sales]]-Bike_Sales[[#This Row],[Total Cost]]</f>
        <v>300</v>
      </c>
      <c r="R93" s="17">
        <f>Bike_Sales[[#This Row],[Profit]]/Bike_Sales[[#This Row],[Total Sales]]</f>
        <v>0.375</v>
      </c>
      <c r="S93" s="16" t="str">
        <f t="shared" si="1"/>
        <v>Under 25</v>
      </c>
    </row>
    <row r="94" spans="1:19" x14ac:dyDescent="0.35">
      <c r="A94" s="2">
        <v>44511</v>
      </c>
      <c r="B94" s="2" t="str">
        <f>TEXT(Bike_Sales[[#This Row],[Date]],"mmmm")</f>
        <v>November</v>
      </c>
      <c r="C94" s="19">
        <f>MONTH(Bike_Sales[[#This Row],[Date]])</f>
        <v>11</v>
      </c>
      <c r="D94" s="2" t="str">
        <f>TEXT(Bike_Sales[[#This Row],[Date]],"dddd")</f>
        <v>Thursday</v>
      </c>
      <c r="E94" s="3">
        <v>24</v>
      </c>
      <c r="F94" s="3" t="s">
        <v>135</v>
      </c>
      <c r="G94" s="3" t="s">
        <v>18</v>
      </c>
      <c r="H94" s="3" t="s">
        <v>19</v>
      </c>
      <c r="I94" s="3" t="s">
        <v>11</v>
      </c>
      <c r="J94" s="3" t="s">
        <v>104</v>
      </c>
      <c r="K94" s="3" t="s">
        <v>68</v>
      </c>
      <c r="L94" s="4">
        <v>1</v>
      </c>
      <c r="M94" s="3">
        <v>500</v>
      </c>
      <c r="N94" s="3">
        <v>800</v>
      </c>
      <c r="O94" s="15">
        <f>Bike_Sales[[#This Row],[Order_Quantity]]*Bike_Sales[[#This Row],[Unit_Price]]</f>
        <v>800</v>
      </c>
      <c r="P94" s="15">
        <f>Bike_Sales[[#This Row],[Order_Quantity]]*Bike_Sales[[#This Row],[Unit_Cost]]</f>
        <v>500</v>
      </c>
      <c r="Q94" s="15">
        <f>Bike_Sales[[#This Row],[Total Sales]]-Bike_Sales[[#This Row],[Total Cost]]</f>
        <v>300</v>
      </c>
      <c r="R94" s="17">
        <f>Bike_Sales[[#This Row],[Profit]]/Bike_Sales[[#This Row],[Total Sales]]</f>
        <v>0.375</v>
      </c>
      <c r="S94" s="16" t="str">
        <f t="shared" si="1"/>
        <v>Under 25</v>
      </c>
    </row>
    <row r="95" spans="1:19" x14ac:dyDescent="0.35">
      <c r="A95" s="2">
        <v>44512</v>
      </c>
      <c r="B95" s="2" t="str">
        <f>TEXT(Bike_Sales[[#This Row],[Date]],"mmmm")</f>
        <v>November</v>
      </c>
      <c r="C95" s="19">
        <f>MONTH(Bike_Sales[[#This Row],[Date]])</f>
        <v>11</v>
      </c>
      <c r="D95" s="2" t="str">
        <f>TEXT(Bike_Sales[[#This Row],[Date]],"dddd")</f>
        <v>Friday</v>
      </c>
      <c r="E95" s="3">
        <v>24</v>
      </c>
      <c r="F95" s="3" t="s">
        <v>135</v>
      </c>
      <c r="G95" s="3" t="s">
        <v>18</v>
      </c>
      <c r="H95" s="3" t="s">
        <v>24</v>
      </c>
      <c r="I95" s="3" t="s">
        <v>11</v>
      </c>
      <c r="J95" s="3" t="s">
        <v>101</v>
      </c>
      <c r="K95" s="3" t="s">
        <v>46</v>
      </c>
      <c r="L95" s="4">
        <v>4</v>
      </c>
      <c r="M95" s="3">
        <v>580</v>
      </c>
      <c r="N95" s="3">
        <v>920</v>
      </c>
      <c r="O95" s="15">
        <f>Bike_Sales[[#This Row],[Order_Quantity]]*Bike_Sales[[#This Row],[Unit_Price]]</f>
        <v>3680</v>
      </c>
      <c r="P95" s="15">
        <f>Bike_Sales[[#This Row],[Order_Quantity]]*Bike_Sales[[#This Row],[Unit_Cost]]</f>
        <v>2320</v>
      </c>
      <c r="Q95" s="15">
        <f>Bike_Sales[[#This Row],[Total Sales]]-Bike_Sales[[#This Row],[Total Cost]]</f>
        <v>1360</v>
      </c>
      <c r="R95" s="17">
        <f>Bike_Sales[[#This Row],[Profit]]/Bike_Sales[[#This Row],[Total Sales]]</f>
        <v>0.36956521739130432</v>
      </c>
      <c r="S95" s="16" t="str">
        <f t="shared" si="1"/>
        <v>Under 25</v>
      </c>
    </row>
    <row r="96" spans="1:19" x14ac:dyDescent="0.35">
      <c r="A96" s="2">
        <v>44512</v>
      </c>
      <c r="B96" s="2" t="str">
        <f>TEXT(Bike_Sales[[#This Row],[Date]],"mmmm")</f>
        <v>November</v>
      </c>
      <c r="C96" s="19">
        <f>MONTH(Bike_Sales[[#This Row],[Date]])</f>
        <v>11</v>
      </c>
      <c r="D96" s="2" t="str">
        <f>TEXT(Bike_Sales[[#This Row],[Date]],"dddd")</f>
        <v>Friday</v>
      </c>
      <c r="E96" s="3">
        <v>24</v>
      </c>
      <c r="F96" s="3" t="s">
        <v>135</v>
      </c>
      <c r="G96" s="3" t="s">
        <v>18</v>
      </c>
      <c r="H96" s="3" t="s">
        <v>19</v>
      </c>
      <c r="I96" s="3" t="s">
        <v>11</v>
      </c>
      <c r="J96" s="3" t="s">
        <v>104</v>
      </c>
      <c r="K96" s="3" t="s">
        <v>68</v>
      </c>
      <c r="L96" s="4">
        <v>4</v>
      </c>
      <c r="M96" s="3">
        <v>500</v>
      </c>
      <c r="N96" s="3">
        <v>800</v>
      </c>
      <c r="O96" s="15">
        <f>Bike_Sales[[#This Row],[Order_Quantity]]*Bike_Sales[[#This Row],[Unit_Price]]</f>
        <v>3200</v>
      </c>
      <c r="P96" s="15">
        <f>Bike_Sales[[#This Row],[Order_Quantity]]*Bike_Sales[[#This Row],[Unit_Cost]]</f>
        <v>2000</v>
      </c>
      <c r="Q96" s="15">
        <f>Bike_Sales[[#This Row],[Total Sales]]-Bike_Sales[[#This Row],[Total Cost]]</f>
        <v>1200</v>
      </c>
      <c r="R96" s="17">
        <f>Bike_Sales[[#This Row],[Profit]]/Bike_Sales[[#This Row],[Total Sales]]</f>
        <v>0.375</v>
      </c>
      <c r="S96" s="16" t="str">
        <f t="shared" si="1"/>
        <v>Under 25</v>
      </c>
    </row>
    <row r="97" spans="1:19" x14ac:dyDescent="0.35">
      <c r="A97" s="2">
        <v>44513</v>
      </c>
      <c r="B97" s="2" t="str">
        <f>TEXT(Bike_Sales[[#This Row],[Date]],"mmmm")</f>
        <v>November</v>
      </c>
      <c r="C97" s="19">
        <f>MONTH(Bike_Sales[[#This Row],[Date]])</f>
        <v>11</v>
      </c>
      <c r="D97" s="2" t="str">
        <f>TEXT(Bike_Sales[[#This Row],[Date]],"dddd")</f>
        <v>Saturday</v>
      </c>
      <c r="E97" s="3">
        <v>24</v>
      </c>
      <c r="F97" s="3" t="s">
        <v>126</v>
      </c>
      <c r="G97" s="3" t="s">
        <v>33</v>
      </c>
      <c r="H97" s="3" t="s">
        <v>73</v>
      </c>
      <c r="I97" s="3" t="s">
        <v>11</v>
      </c>
      <c r="J97" s="3" t="s">
        <v>104</v>
      </c>
      <c r="K97" s="3" t="s">
        <v>68</v>
      </c>
      <c r="L97" s="4">
        <v>1</v>
      </c>
      <c r="M97" s="3">
        <v>500</v>
      </c>
      <c r="N97" s="3">
        <v>800</v>
      </c>
      <c r="O97" s="15">
        <f>Bike_Sales[[#This Row],[Order_Quantity]]*Bike_Sales[[#This Row],[Unit_Price]]</f>
        <v>800</v>
      </c>
      <c r="P97" s="15">
        <f>Bike_Sales[[#This Row],[Order_Quantity]]*Bike_Sales[[#This Row],[Unit_Cost]]</f>
        <v>500</v>
      </c>
      <c r="Q97" s="15">
        <f>Bike_Sales[[#This Row],[Total Sales]]-Bike_Sales[[#This Row],[Total Cost]]</f>
        <v>300</v>
      </c>
      <c r="R97" s="17">
        <f>Bike_Sales[[#This Row],[Profit]]/Bike_Sales[[#This Row],[Total Sales]]</f>
        <v>0.375</v>
      </c>
      <c r="S97" s="16" t="str">
        <f t="shared" si="1"/>
        <v>Under 25</v>
      </c>
    </row>
    <row r="98" spans="1:19" x14ac:dyDescent="0.35">
      <c r="A98" s="2">
        <v>44523</v>
      </c>
      <c r="B98" s="2" t="str">
        <f>TEXT(Bike_Sales[[#This Row],[Date]],"mmmm")</f>
        <v>November</v>
      </c>
      <c r="C98" s="19">
        <f>MONTH(Bike_Sales[[#This Row],[Date]])</f>
        <v>11</v>
      </c>
      <c r="D98" s="2" t="str">
        <f>TEXT(Bike_Sales[[#This Row],[Date]],"dddd")</f>
        <v>Tuesday</v>
      </c>
      <c r="E98" s="3">
        <v>24</v>
      </c>
      <c r="F98" s="3" t="s">
        <v>135</v>
      </c>
      <c r="G98" s="3" t="s">
        <v>9</v>
      </c>
      <c r="H98" s="3" t="s">
        <v>37</v>
      </c>
      <c r="I98" s="3" t="s">
        <v>16</v>
      </c>
      <c r="J98" s="3" t="s">
        <v>101</v>
      </c>
      <c r="K98" s="3" t="s">
        <v>49</v>
      </c>
      <c r="L98" s="4">
        <v>1</v>
      </c>
      <c r="M98" s="3">
        <v>550</v>
      </c>
      <c r="N98" s="3">
        <v>850</v>
      </c>
      <c r="O98" s="15">
        <f>Bike_Sales[[#This Row],[Order_Quantity]]*Bike_Sales[[#This Row],[Unit_Price]]</f>
        <v>850</v>
      </c>
      <c r="P98" s="15">
        <f>Bike_Sales[[#This Row],[Order_Quantity]]*Bike_Sales[[#This Row],[Unit_Cost]]</f>
        <v>550</v>
      </c>
      <c r="Q98" s="15">
        <f>Bike_Sales[[#This Row],[Total Sales]]-Bike_Sales[[#This Row],[Total Cost]]</f>
        <v>300</v>
      </c>
      <c r="R98" s="17">
        <f>Bike_Sales[[#This Row],[Profit]]/Bike_Sales[[#This Row],[Total Sales]]</f>
        <v>0.35294117647058826</v>
      </c>
      <c r="S98" s="16" t="str">
        <f t="shared" si="1"/>
        <v>Under 25</v>
      </c>
    </row>
    <row r="99" spans="1:19" x14ac:dyDescent="0.35">
      <c r="A99" s="2">
        <v>44527</v>
      </c>
      <c r="B99" s="2" t="str">
        <f>TEXT(Bike_Sales[[#This Row],[Date]],"mmmm")</f>
        <v>November</v>
      </c>
      <c r="C99" s="19">
        <f>MONTH(Bike_Sales[[#This Row],[Date]])</f>
        <v>11</v>
      </c>
      <c r="D99" s="2" t="str">
        <f>TEXT(Bike_Sales[[#This Row],[Date]],"dddd")</f>
        <v>Saturday</v>
      </c>
      <c r="E99" s="3">
        <v>24</v>
      </c>
      <c r="F99" s="3" t="s">
        <v>135</v>
      </c>
      <c r="G99" s="3" t="s">
        <v>18</v>
      </c>
      <c r="H99" s="3" t="s">
        <v>35</v>
      </c>
      <c r="I99" s="3" t="s">
        <v>11</v>
      </c>
      <c r="J99" s="3" t="s">
        <v>104</v>
      </c>
      <c r="K99" s="3" t="s">
        <v>12</v>
      </c>
      <c r="L99" s="4">
        <v>2</v>
      </c>
      <c r="M99" s="3">
        <v>500</v>
      </c>
      <c r="N99" s="3">
        <v>800</v>
      </c>
      <c r="O99" s="15">
        <f>Bike_Sales[[#This Row],[Order_Quantity]]*Bike_Sales[[#This Row],[Unit_Price]]</f>
        <v>1600</v>
      </c>
      <c r="P99" s="15">
        <f>Bike_Sales[[#This Row],[Order_Quantity]]*Bike_Sales[[#This Row],[Unit_Cost]]</f>
        <v>1000</v>
      </c>
      <c r="Q99" s="15">
        <f>Bike_Sales[[#This Row],[Total Sales]]-Bike_Sales[[#This Row],[Total Cost]]</f>
        <v>600</v>
      </c>
      <c r="R99" s="17">
        <f>Bike_Sales[[#This Row],[Profit]]/Bike_Sales[[#This Row],[Total Sales]]</f>
        <v>0.375</v>
      </c>
      <c r="S99" s="16" t="str">
        <f t="shared" si="1"/>
        <v>Under 25</v>
      </c>
    </row>
    <row r="100" spans="1:19" x14ac:dyDescent="0.35">
      <c r="A100" s="2">
        <v>44527</v>
      </c>
      <c r="B100" s="2" t="str">
        <f>TEXT(Bike_Sales[[#This Row],[Date]],"mmmm")</f>
        <v>November</v>
      </c>
      <c r="C100" s="19">
        <f>MONTH(Bike_Sales[[#This Row],[Date]])</f>
        <v>11</v>
      </c>
      <c r="D100" s="2" t="str">
        <f>TEXT(Bike_Sales[[#This Row],[Date]],"dddd")</f>
        <v>Saturday</v>
      </c>
      <c r="E100" s="3">
        <v>24</v>
      </c>
      <c r="F100" s="3" t="s">
        <v>135</v>
      </c>
      <c r="G100" s="3" t="s">
        <v>18</v>
      </c>
      <c r="H100" s="3" t="s">
        <v>19</v>
      </c>
      <c r="I100" s="3" t="s">
        <v>11</v>
      </c>
      <c r="J100" s="3" t="s">
        <v>104</v>
      </c>
      <c r="K100" s="3" t="s">
        <v>68</v>
      </c>
      <c r="L100" s="4">
        <v>1</v>
      </c>
      <c r="M100" s="3">
        <v>500</v>
      </c>
      <c r="N100" s="3">
        <v>800</v>
      </c>
      <c r="O100" s="15">
        <f>Bike_Sales[[#This Row],[Order_Quantity]]*Bike_Sales[[#This Row],[Unit_Price]]</f>
        <v>800</v>
      </c>
      <c r="P100" s="15">
        <f>Bike_Sales[[#This Row],[Order_Quantity]]*Bike_Sales[[#This Row],[Unit_Cost]]</f>
        <v>500</v>
      </c>
      <c r="Q100" s="15">
        <f>Bike_Sales[[#This Row],[Total Sales]]-Bike_Sales[[#This Row],[Total Cost]]</f>
        <v>300</v>
      </c>
      <c r="R100" s="17">
        <f>Bike_Sales[[#This Row],[Profit]]/Bike_Sales[[#This Row],[Total Sales]]</f>
        <v>0.375</v>
      </c>
      <c r="S100" s="16" t="str">
        <f t="shared" si="1"/>
        <v>Under 25</v>
      </c>
    </row>
    <row r="101" spans="1:19" x14ac:dyDescent="0.35">
      <c r="A101" s="2">
        <v>44529</v>
      </c>
      <c r="B101" s="2" t="str">
        <f>TEXT(Bike_Sales[[#This Row],[Date]],"mmmm")</f>
        <v>November</v>
      </c>
      <c r="C101" s="19">
        <f>MONTH(Bike_Sales[[#This Row],[Date]])</f>
        <v>11</v>
      </c>
      <c r="D101" s="2" t="str">
        <f>TEXT(Bike_Sales[[#This Row],[Date]],"dddd")</f>
        <v>Monday</v>
      </c>
      <c r="E101" s="3">
        <v>24</v>
      </c>
      <c r="F101" s="3" t="s">
        <v>135</v>
      </c>
      <c r="G101" s="3" t="s">
        <v>18</v>
      </c>
      <c r="H101" s="3" t="s">
        <v>63</v>
      </c>
      <c r="I101" s="3" t="s">
        <v>11</v>
      </c>
      <c r="J101" s="3" t="s">
        <v>104</v>
      </c>
      <c r="K101" s="3" t="s">
        <v>34</v>
      </c>
      <c r="L101" s="4">
        <v>3</v>
      </c>
      <c r="M101" s="3">
        <v>500</v>
      </c>
      <c r="N101" s="3">
        <v>800</v>
      </c>
      <c r="O101" s="15">
        <f>Bike_Sales[[#This Row],[Order_Quantity]]*Bike_Sales[[#This Row],[Unit_Price]]</f>
        <v>2400</v>
      </c>
      <c r="P101" s="15">
        <f>Bike_Sales[[#This Row],[Order_Quantity]]*Bike_Sales[[#This Row],[Unit_Cost]]</f>
        <v>1500</v>
      </c>
      <c r="Q101" s="15">
        <f>Bike_Sales[[#This Row],[Total Sales]]-Bike_Sales[[#This Row],[Total Cost]]</f>
        <v>900</v>
      </c>
      <c r="R101" s="17">
        <f>Bike_Sales[[#This Row],[Profit]]/Bike_Sales[[#This Row],[Total Sales]]</f>
        <v>0.375</v>
      </c>
      <c r="S101" s="16" t="str">
        <f t="shared" si="1"/>
        <v>Under 25</v>
      </c>
    </row>
    <row r="102" spans="1:19" x14ac:dyDescent="0.35">
      <c r="A102" s="2">
        <v>44533</v>
      </c>
      <c r="B102" s="2" t="str">
        <f>TEXT(Bike_Sales[[#This Row],[Date]],"mmmm")</f>
        <v>December</v>
      </c>
      <c r="C102" s="19">
        <f>MONTH(Bike_Sales[[#This Row],[Date]])</f>
        <v>12</v>
      </c>
      <c r="D102" s="2" t="str">
        <f>TEXT(Bike_Sales[[#This Row],[Date]],"dddd")</f>
        <v>Friday</v>
      </c>
      <c r="E102" s="3">
        <v>24</v>
      </c>
      <c r="F102" s="3" t="s">
        <v>126</v>
      </c>
      <c r="G102" s="3" t="s">
        <v>33</v>
      </c>
      <c r="H102" s="3" t="s">
        <v>128</v>
      </c>
      <c r="I102" s="3" t="s">
        <v>11</v>
      </c>
      <c r="J102" s="3" t="s">
        <v>101</v>
      </c>
      <c r="K102" s="3" t="s">
        <v>31</v>
      </c>
      <c r="L102" s="4">
        <v>2</v>
      </c>
      <c r="M102" s="3">
        <v>580</v>
      </c>
      <c r="N102" s="3">
        <v>920</v>
      </c>
      <c r="O102" s="15">
        <f>Bike_Sales[[#This Row],[Order_Quantity]]*Bike_Sales[[#This Row],[Unit_Price]]</f>
        <v>1840</v>
      </c>
      <c r="P102" s="15">
        <f>Bike_Sales[[#This Row],[Order_Quantity]]*Bike_Sales[[#This Row],[Unit_Cost]]</f>
        <v>1160</v>
      </c>
      <c r="Q102" s="15">
        <f>Bike_Sales[[#This Row],[Total Sales]]-Bike_Sales[[#This Row],[Total Cost]]</f>
        <v>680</v>
      </c>
      <c r="R102" s="17">
        <f>Bike_Sales[[#This Row],[Profit]]/Bike_Sales[[#This Row],[Total Sales]]</f>
        <v>0.36956521739130432</v>
      </c>
      <c r="S102" s="16" t="str">
        <f t="shared" si="1"/>
        <v>Under 25</v>
      </c>
    </row>
    <row r="103" spans="1:19" x14ac:dyDescent="0.35">
      <c r="A103" s="2">
        <v>44533</v>
      </c>
      <c r="B103" s="2" t="str">
        <f>TEXT(Bike_Sales[[#This Row],[Date]],"mmmm")</f>
        <v>December</v>
      </c>
      <c r="C103" s="19">
        <f>MONTH(Bike_Sales[[#This Row],[Date]])</f>
        <v>12</v>
      </c>
      <c r="D103" s="2" t="str">
        <f>TEXT(Bike_Sales[[#This Row],[Date]],"dddd")</f>
        <v>Friday</v>
      </c>
      <c r="E103" s="3">
        <v>24</v>
      </c>
      <c r="F103" s="3" t="s">
        <v>135</v>
      </c>
      <c r="G103" s="3" t="s">
        <v>129</v>
      </c>
      <c r="H103" s="3" t="s">
        <v>15</v>
      </c>
      <c r="I103" s="3" t="s">
        <v>16</v>
      </c>
      <c r="J103" s="3" t="s">
        <v>101</v>
      </c>
      <c r="K103" s="3" t="s">
        <v>17</v>
      </c>
      <c r="L103" s="4">
        <v>1</v>
      </c>
      <c r="M103" s="3">
        <v>550</v>
      </c>
      <c r="N103" s="3">
        <v>850</v>
      </c>
      <c r="O103" s="15">
        <f>Bike_Sales[[#This Row],[Order_Quantity]]*Bike_Sales[[#This Row],[Unit_Price]]</f>
        <v>850</v>
      </c>
      <c r="P103" s="15">
        <f>Bike_Sales[[#This Row],[Order_Quantity]]*Bike_Sales[[#This Row],[Unit_Cost]]</f>
        <v>550</v>
      </c>
      <c r="Q103" s="15">
        <f>Bike_Sales[[#This Row],[Total Sales]]-Bike_Sales[[#This Row],[Total Cost]]</f>
        <v>300</v>
      </c>
      <c r="R103" s="17">
        <f>Bike_Sales[[#This Row],[Profit]]/Bike_Sales[[#This Row],[Total Sales]]</f>
        <v>0.35294117647058826</v>
      </c>
      <c r="S103" s="16" t="str">
        <f t="shared" si="1"/>
        <v>Under 25</v>
      </c>
    </row>
    <row r="104" spans="1:19" x14ac:dyDescent="0.35">
      <c r="A104" s="2">
        <v>44541</v>
      </c>
      <c r="B104" s="2" t="str">
        <f>TEXT(Bike_Sales[[#This Row],[Date]],"mmmm")</f>
        <v>December</v>
      </c>
      <c r="C104" s="19">
        <f>MONTH(Bike_Sales[[#This Row],[Date]])</f>
        <v>12</v>
      </c>
      <c r="D104" s="2" t="str">
        <f>TEXT(Bike_Sales[[#This Row],[Date]],"dddd")</f>
        <v>Saturday</v>
      </c>
      <c r="E104" s="3">
        <v>24</v>
      </c>
      <c r="F104" s="3" t="s">
        <v>126</v>
      </c>
      <c r="G104" s="3" t="s">
        <v>39</v>
      </c>
      <c r="H104" s="3" t="s">
        <v>76</v>
      </c>
      <c r="I104" s="3" t="s">
        <v>11</v>
      </c>
      <c r="J104" s="3" t="s">
        <v>101</v>
      </c>
      <c r="K104" s="3" t="s">
        <v>46</v>
      </c>
      <c r="L104" s="4">
        <v>4</v>
      </c>
      <c r="M104" s="3">
        <v>580</v>
      </c>
      <c r="N104" s="3">
        <v>920</v>
      </c>
      <c r="O104" s="15">
        <f>Bike_Sales[[#This Row],[Order_Quantity]]*Bike_Sales[[#This Row],[Unit_Price]]</f>
        <v>3680</v>
      </c>
      <c r="P104" s="15">
        <f>Bike_Sales[[#This Row],[Order_Quantity]]*Bike_Sales[[#This Row],[Unit_Cost]]</f>
        <v>2320</v>
      </c>
      <c r="Q104" s="15">
        <f>Bike_Sales[[#This Row],[Total Sales]]-Bike_Sales[[#This Row],[Total Cost]]</f>
        <v>1360</v>
      </c>
      <c r="R104" s="17">
        <f>Bike_Sales[[#This Row],[Profit]]/Bike_Sales[[#This Row],[Total Sales]]</f>
        <v>0.36956521739130432</v>
      </c>
      <c r="S104" s="16" t="str">
        <f t="shared" si="1"/>
        <v>Under 25</v>
      </c>
    </row>
    <row r="105" spans="1:19" x14ac:dyDescent="0.35">
      <c r="A105" s="2">
        <v>44541</v>
      </c>
      <c r="B105" s="2" t="str">
        <f>TEXT(Bike_Sales[[#This Row],[Date]],"mmmm")</f>
        <v>December</v>
      </c>
      <c r="C105" s="19">
        <f>MONTH(Bike_Sales[[#This Row],[Date]])</f>
        <v>12</v>
      </c>
      <c r="D105" s="2" t="str">
        <f>TEXT(Bike_Sales[[#This Row],[Date]],"dddd")</f>
        <v>Saturday</v>
      </c>
      <c r="E105" s="3">
        <v>24</v>
      </c>
      <c r="F105" s="3" t="s">
        <v>135</v>
      </c>
      <c r="G105" s="3" t="s">
        <v>39</v>
      </c>
      <c r="H105" s="3" t="s">
        <v>80</v>
      </c>
      <c r="I105" s="3" t="s">
        <v>16</v>
      </c>
      <c r="J105" s="3" t="s">
        <v>101</v>
      </c>
      <c r="K105" s="3" t="s">
        <v>17</v>
      </c>
      <c r="L105" s="4">
        <v>3</v>
      </c>
      <c r="M105" s="3">
        <v>550</v>
      </c>
      <c r="N105" s="3">
        <v>850</v>
      </c>
      <c r="O105" s="15">
        <f>Bike_Sales[[#This Row],[Order_Quantity]]*Bike_Sales[[#This Row],[Unit_Price]]</f>
        <v>2550</v>
      </c>
      <c r="P105" s="15">
        <f>Bike_Sales[[#This Row],[Order_Quantity]]*Bike_Sales[[#This Row],[Unit_Cost]]</f>
        <v>1650</v>
      </c>
      <c r="Q105" s="15">
        <f>Bike_Sales[[#This Row],[Total Sales]]-Bike_Sales[[#This Row],[Total Cost]]</f>
        <v>900</v>
      </c>
      <c r="R105" s="17">
        <f>Bike_Sales[[#This Row],[Profit]]/Bike_Sales[[#This Row],[Total Sales]]</f>
        <v>0.35294117647058826</v>
      </c>
      <c r="S105" s="16" t="str">
        <f t="shared" si="1"/>
        <v>Under 25</v>
      </c>
    </row>
    <row r="106" spans="1:19" x14ac:dyDescent="0.35">
      <c r="A106" s="2">
        <v>44548</v>
      </c>
      <c r="B106" s="2" t="str">
        <f>TEXT(Bike_Sales[[#This Row],[Date]],"mmmm")</f>
        <v>December</v>
      </c>
      <c r="C106" s="19">
        <f>MONTH(Bike_Sales[[#This Row],[Date]])</f>
        <v>12</v>
      </c>
      <c r="D106" s="2" t="str">
        <f>TEXT(Bike_Sales[[#This Row],[Date]],"dddd")</f>
        <v>Saturday</v>
      </c>
      <c r="E106" s="3">
        <v>24</v>
      </c>
      <c r="F106" s="3" t="s">
        <v>135</v>
      </c>
      <c r="G106" s="3" t="s">
        <v>39</v>
      </c>
      <c r="H106" s="3" t="s">
        <v>76</v>
      </c>
      <c r="I106" s="3" t="s">
        <v>16</v>
      </c>
      <c r="J106" s="3" t="s">
        <v>103</v>
      </c>
      <c r="K106" s="3" t="s">
        <v>22</v>
      </c>
      <c r="L106" s="4">
        <v>3</v>
      </c>
      <c r="M106" s="3">
        <v>550</v>
      </c>
      <c r="N106" s="3">
        <v>850</v>
      </c>
      <c r="O106" s="15">
        <f>Bike_Sales[[#This Row],[Order_Quantity]]*Bike_Sales[[#This Row],[Unit_Price]]</f>
        <v>2550</v>
      </c>
      <c r="P106" s="15">
        <f>Bike_Sales[[#This Row],[Order_Quantity]]*Bike_Sales[[#This Row],[Unit_Cost]]</f>
        <v>1650</v>
      </c>
      <c r="Q106" s="15">
        <f>Bike_Sales[[#This Row],[Total Sales]]-Bike_Sales[[#This Row],[Total Cost]]</f>
        <v>900</v>
      </c>
      <c r="R106" s="17">
        <f>Bike_Sales[[#This Row],[Profit]]/Bike_Sales[[#This Row],[Total Sales]]</f>
        <v>0.35294117647058826</v>
      </c>
      <c r="S106" s="16" t="str">
        <f t="shared" si="1"/>
        <v>Under 25</v>
      </c>
    </row>
    <row r="107" spans="1:19" x14ac:dyDescent="0.35">
      <c r="A107" s="2">
        <v>44549</v>
      </c>
      <c r="B107" s="2" t="str">
        <f>TEXT(Bike_Sales[[#This Row],[Date]],"mmmm")</f>
        <v>December</v>
      </c>
      <c r="C107" s="19">
        <f>MONTH(Bike_Sales[[#This Row],[Date]])</f>
        <v>12</v>
      </c>
      <c r="D107" s="2" t="str">
        <f>TEXT(Bike_Sales[[#This Row],[Date]],"dddd")</f>
        <v>Sunday</v>
      </c>
      <c r="E107" s="3">
        <v>24</v>
      </c>
      <c r="F107" s="3" t="s">
        <v>135</v>
      </c>
      <c r="G107" s="3" t="s">
        <v>39</v>
      </c>
      <c r="H107" s="3" t="s">
        <v>96</v>
      </c>
      <c r="I107" s="3" t="s">
        <v>11</v>
      </c>
      <c r="J107" s="3" t="s">
        <v>102</v>
      </c>
      <c r="K107" s="3" t="s">
        <v>28</v>
      </c>
      <c r="L107" s="4">
        <v>4</v>
      </c>
      <c r="M107" s="3">
        <v>580</v>
      </c>
      <c r="N107" s="3">
        <v>920</v>
      </c>
      <c r="O107" s="15">
        <f>Bike_Sales[[#This Row],[Order_Quantity]]*Bike_Sales[[#This Row],[Unit_Price]]</f>
        <v>3680</v>
      </c>
      <c r="P107" s="15">
        <f>Bike_Sales[[#This Row],[Order_Quantity]]*Bike_Sales[[#This Row],[Unit_Cost]]</f>
        <v>2320</v>
      </c>
      <c r="Q107" s="15">
        <f>Bike_Sales[[#This Row],[Total Sales]]-Bike_Sales[[#This Row],[Total Cost]]</f>
        <v>1360</v>
      </c>
      <c r="R107" s="17">
        <f>Bike_Sales[[#This Row],[Profit]]/Bike_Sales[[#This Row],[Total Sales]]</f>
        <v>0.36956521739130432</v>
      </c>
      <c r="S107" s="16" t="str">
        <f t="shared" si="1"/>
        <v>Under 25</v>
      </c>
    </row>
    <row r="108" spans="1:19" x14ac:dyDescent="0.35">
      <c r="A108" s="2">
        <v>44554</v>
      </c>
      <c r="B108" s="2" t="str">
        <f>TEXT(Bike_Sales[[#This Row],[Date]],"mmmm")</f>
        <v>December</v>
      </c>
      <c r="C108" s="19">
        <f>MONTH(Bike_Sales[[#This Row],[Date]])</f>
        <v>12</v>
      </c>
      <c r="D108" s="2" t="str">
        <f>TEXT(Bike_Sales[[#This Row],[Date]],"dddd")</f>
        <v>Friday</v>
      </c>
      <c r="E108" s="3">
        <v>24</v>
      </c>
      <c r="F108" s="3" t="s">
        <v>126</v>
      </c>
      <c r="G108" s="3" t="s">
        <v>129</v>
      </c>
      <c r="H108" s="3" t="s">
        <v>15</v>
      </c>
      <c r="I108" s="3" t="s">
        <v>11</v>
      </c>
      <c r="J108" s="3" t="s">
        <v>101</v>
      </c>
      <c r="K108" s="3" t="s">
        <v>67</v>
      </c>
      <c r="L108" s="4">
        <v>1</v>
      </c>
      <c r="M108" s="3">
        <v>700</v>
      </c>
      <c r="N108" s="3">
        <v>1100</v>
      </c>
      <c r="O108" s="15">
        <f>Bike_Sales[[#This Row],[Order_Quantity]]*Bike_Sales[[#This Row],[Unit_Price]]</f>
        <v>1100</v>
      </c>
      <c r="P108" s="15">
        <f>Bike_Sales[[#This Row],[Order_Quantity]]*Bike_Sales[[#This Row],[Unit_Cost]]</f>
        <v>700</v>
      </c>
      <c r="Q108" s="15">
        <f>Bike_Sales[[#This Row],[Total Sales]]-Bike_Sales[[#This Row],[Total Cost]]</f>
        <v>400</v>
      </c>
      <c r="R108" s="17">
        <f>Bike_Sales[[#This Row],[Profit]]/Bike_Sales[[#This Row],[Total Sales]]</f>
        <v>0.36363636363636365</v>
      </c>
      <c r="S108" s="16" t="str">
        <f t="shared" si="1"/>
        <v>Under 25</v>
      </c>
    </row>
    <row r="109" spans="1:19" x14ac:dyDescent="0.35">
      <c r="A109" s="2">
        <v>44556</v>
      </c>
      <c r="B109" s="2" t="str">
        <f>TEXT(Bike_Sales[[#This Row],[Date]],"mmmm")</f>
        <v>December</v>
      </c>
      <c r="C109" s="19">
        <f>MONTH(Bike_Sales[[#This Row],[Date]])</f>
        <v>12</v>
      </c>
      <c r="D109" s="2" t="str">
        <f>TEXT(Bike_Sales[[#This Row],[Date]],"dddd")</f>
        <v>Sunday</v>
      </c>
      <c r="E109" s="3">
        <v>24</v>
      </c>
      <c r="F109" s="3" t="s">
        <v>126</v>
      </c>
      <c r="G109" s="3" t="s">
        <v>13</v>
      </c>
      <c r="H109" s="3" t="s">
        <v>127</v>
      </c>
      <c r="I109" s="3" t="s">
        <v>11</v>
      </c>
      <c r="J109" s="3" t="s">
        <v>104</v>
      </c>
      <c r="K109" s="3" t="s">
        <v>52</v>
      </c>
      <c r="L109" s="4">
        <v>1</v>
      </c>
      <c r="M109" s="3">
        <v>530</v>
      </c>
      <c r="N109" s="3">
        <v>840</v>
      </c>
      <c r="O109" s="15">
        <f>Bike_Sales[[#This Row],[Order_Quantity]]*Bike_Sales[[#This Row],[Unit_Price]]</f>
        <v>840</v>
      </c>
      <c r="P109" s="15">
        <f>Bike_Sales[[#This Row],[Order_Quantity]]*Bike_Sales[[#This Row],[Unit_Cost]]</f>
        <v>530</v>
      </c>
      <c r="Q109" s="15">
        <f>Bike_Sales[[#This Row],[Total Sales]]-Bike_Sales[[#This Row],[Total Cost]]</f>
        <v>310</v>
      </c>
      <c r="R109" s="17">
        <f>Bike_Sales[[#This Row],[Profit]]/Bike_Sales[[#This Row],[Total Sales]]</f>
        <v>0.36904761904761907</v>
      </c>
      <c r="S109" s="16" t="str">
        <f t="shared" si="1"/>
        <v>Under 25</v>
      </c>
    </row>
    <row r="110" spans="1:19" x14ac:dyDescent="0.35">
      <c r="A110" s="2">
        <v>44559</v>
      </c>
      <c r="B110" s="2" t="str">
        <f>TEXT(Bike_Sales[[#This Row],[Date]],"mmmm")</f>
        <v>December</v>
      </c>
      <c r="C110" s="19">
        <f>MONTH(Bike_Sales[[#This Row],[Date]])</f>
        <v>12</v>
      </c>
      <c r="D110" s="2" t="str">
        <f>TEXT(Bike_Sales[[#This Row],[Date]],"dddd")</f>
        <v>Wednesday</v>
      </c>
      <c r="E110" s="3">
        <v>24</v>
      </c>
      <c r="F110" s="3" t="s">
        <v>135</v>
      </c>
      <c r="G110" s="3" t="s">
        <v>39</v>
      </c>
      <c r="H110" s="3" t="s">
        <v>99</v>
      </c>
      <c r="I110" s="3" t="s">
        <v>11</v>
      </c>
      <c r="J110" s="3" t="s">
        <v>102</v>
      </c>
      <c r="K110" s="3" t="s">
        <v>72</v>
      </c>
      <c r="L110" s="4">
        <v>4</v>
      </c>
      <c r="M110" s="3">
        <v>580</v>
      </c>
      <c r="N110" s="3">
        <v>920</v>
      </c>
      <c r="O110" s="15">
        <f>Bike_Sales[[#This Row],[Order_Quantity]]*Bike_Sales[[#This Row],[Unit_Price]]</f>
        <v>3680</v>
      </c>
      <c r="P110" s="15">
        <f>Bike_Sales[[#This Row],[Order_Quantity]]*Bike_Sales[[#This Row],[Unit_Cost]]</f>
        <v>2320</v>
      </c>
      <c r="Q110" s="15">
        <f>Bike_Sales[[#This Row],[Total Sales]]-Bike_Sales[[#This Row],[Total Cost]]</f>
        <v>1360</v>
      </c>
      <c r="R110" s="17">
        <f>Bike_Sales[[#This Row],[Profit]]/Bike_Sales[[#This Row],[Total Sales]]</f>
        <v>0.36956521739130432</v>
      </c>
      <c r="S110" s="16" t="str">
        <f t="shared" si="1"/>
        <v>Under 25</v>
      </c>
    </row>
    <row r="111" spans="1:19" x14ac:dyDescent="0.35">
      <c r="A111" s="2">
        <v>44560</v>
      </c>
      <c r="B111" s="2" t="str">
        <f>TEXT(Bike_Sales[[#This Row],[Date]],"mmmm")</f>
        <v>December</v>
      </c>
      <c r="C111" s="19">
        <f>MONTH(Bike_Sales[[#This Row],[Date]])</f>
        <v>12</v>
      </c>
      <c r="D111" s="2" t="str">
        <f>TEXT(Bike_Sales[[#This Row],[Date]],"dddd")</f>
        <v>Thursday</v>
      </c>
      <c r="E111" s="3">
        <v>24</v>
      </c>
      <c r="F111" s="3" t="s">
        <v>135</v>
      </c>
      <c r="G111" s="3" t="s">
        <v>39</v>
      </c>
      <c r="H111" s="3" t="s">
        <v>79</v>
      </c>
      <c r="I111" s="3" t="s">
        <v>16</v>
      </c>
      <c r="J111" s="3" t="s">
        <v>101</v>
      </c>
      <c r="K111" s="3" t="s">
        <v>49</v>
      </c>
      <c r="L111" s="4">
        <v>1</v>
      </c>
      <c r="M111" s="3">
        <v>550</v>
      </c>
      <c r="N111" s="3">
        <v>850</v>
      </c>
      <c r="O111" s="15">
        <f>Bike_Sales[[#This Row],[Order_Quantity]]*Bike_Sales[[#This Row],[Unit_Price]]</f>
        <v>850</v>
      </c>
      <c r="P111" s="15">
        <f>Bike_Sales[[#This Row],[Order_Quantity]]*Bike_Sales[[#This Row],[Unit_Cost]]</f>
        <v>550</v>
      </c>
      <c r="Q111" s="15">
        <f>Bike_Sales[[#This Row],[Total Sales]]-Bike_Sales[[#This Row],[Total Cost]]</f>
        <v>300</v>
      </c>
      <c r="R111" s="17">
        <f>Bike_Sales[[#This Row],[Profit]]/Bike_Sales[[#This Row],[Total Sales]]</f>
        <v>0.35294117647058826</v>
      </c>
      <c r="S111" s="16" t="str">
        <f t="shared" si="1"/>
        <v>Under 25</v>
      </c>
    </row>
    <row r="112" spans="1:19" x14ac:dyDescent="0.35">
      <c r="A112" s="2">
        <v>44491</v>
      </c>
      <c r="B112" s="2" t="str">
        <f>TEXT(Bike_Sales[[#This Row],[Date]],"mmmm")</f>
        <v>October</v>
      </c>
      <c r="C112" s="19">
        <f>MONTH(Bike_Sales[[#This Row],[Date]])</f>
        <v>10</v>
      </c>
      <c r="D112" s="2" t="str">
        <f>TEXT(Bike_Sales[[#This Row],[Date]],"dddd")</f>
        <v>Friday</v>
      </c>
      <c r="E112" s="3">
        <v>25</v>
      </c>
      <c r="F112" s="3" t="s">
        <v>135</v>
      </c>
      <c r="G112" s="3" t="s">
        <v>13</v>
      </c>
      <c r="H112" s="3" t="s">
        <v>127</v>
      </c>
      <c r="I112" s="3" t="s">
        <v>11</v>
      </c>
      <c r="J112" s="3" t="s">
        <v>102</v>
      </c>
      <c r="K112" s="3" t="s">
        <v>72</v>
      </c>
      <c r="L112" s="4">
        <v>1</v>
      </c>
      <c r="M112" s="3">
        <v>580</v>
      </c>
      <c r="N112" s="3">
        <v>920</v>
      </c>
      <c r="O112" s="15">
        <f>Bike_Sales[[#This Row],[Order_Quantity]]*Bike_Sales[[#This Row],[Unit_Price]]</f>
        <v>920</v>
      </c>
      <c r="P112" s="15">
        <f>Bike_Sales[[#This Row],[Order_Quantity]]*Bike_Sales[[#This Row],[Unit_Cost]]</f>
        <v>580</v>
      </c>
      <c r="Q112" s="15">
        <f>Bike_Sales[[#This Row],[Total Sales]]-Bike_Sales[[#This Row],[Total Cost]]</f>
        <v>340</v>
      </c>
      <c r="R112" s="17">
        <f>Bike_Sales[[#This Row],[Profit]]/Bike_Sales[[#This Row],[Total Sales]]</f>
        <v>0.36956521739130432</v>
      </c>
      <c r="S112" s="16" t="str">
        <f t="shared" si="1"/>
        <v>25-34</v>
      </c>
    </row>
    <row r="113" spans="1:19" x14ac:dyDescent="0.35">
      <c r="A113" s="2">
        <v>44505</v>
      </c>
      <c r="B113" s="2" t="str">
        <f>TEXT(Bike_Sales[[#This Row],[Date]],"mmmm")</f>
        <v>November</v>
      </c>
      <c r="C113" s="19">
        <f>MONTH(Bike_Sales[[#This Row],[Date]])</f>
        <v>11</v>
      </c>
      <c r="D113" s="2" t="str">
        <f>TEXT(Bike_Sales[[#This Row],[Date]],"dddd")</f>
        <v>Friday</v>
      </c>
      <c r="E113" s="3">
        <v>25</v>
      </c>
      <c r="F113" s="3" t="s">
        <v>135</v>
      </c>
      <c r="G113" s="3" t="s">
        <v>18</v>
      </c>
      <c r="H113" s="3" t="s">
        <v>24</v>
      </c>
      <c r="I113" s="3" t="s">
        <v>11</v>
      </c>
      <c r="J113" s="3" t="s">
        <v>101</v>
      </c>
      <c r="K113" s="3" t="s">
        <v>46</v>
      </c>
      <c r="L113" s="4">
        <v>3</v>
      </c>
      <c r="M113" s="3">
        <v>580</v>
      </c>
      <c r="N113" s="3">
        <v>920</v>
      </c>
      <c r="O113" s="15">
        <f>Bike_Sales[[#This Row],[Order_Quantity]]*Bike_Sales[[#This Row],[Unit_Price]]</f>
        <v>2760</v>
      </c>
      <c r="P113" s="15">
        <f>Bike_Sales[[#This Row],[Order_Quantity]]*Bike_Sales[[#This Row],[Unit_Cost]]</f>
        <v>1740</v>
      </c>
      <c r="Q113" s="15">
        <f>Bike_Sales[[#This Row],[Total Sales]]-Bike_Sales[[#This Row],[Total Cost]]</f>
        <v>1020</v>
      </c>
      <c r="R113" s="17">
        <f>Bike_Sales[[#This Row],[Profit]]/Bike_Sales[[#This Row],[Total Sales]]</f>
        <v>0.36956521739130432</v>
      </c>
      <c r="S113" s="16" t="str">
        <f t="shared" si="1"/>
        <v>25-34</v>
      </c>
    </row>
    <row r="114" spans="1:19" x14ac:dyDescent="0.35">
      <c r="A114" s="2">
        <v>44505</v>
      </c>
      <c r="B114" s="2" t="str">
        <f>TEXT(Bike_Sales[[#This Row],[Date]],"mmmm")</f>
        <v>November</v>
      </c>
      <c r="C114" s="19">
        <f>MONTH(Bike_Sales[[#This Row],[Date]])</f>
        <v>11</v>
      </c>
      <c r="D114" s="2" t="str">
        <f>TEXT(Bike_Sales[[#This Row],[Date]],"dddd")</f>
        <v>Friday</v>
      </c>
      <c r="E114" s="3">
        <v>25</v>
      </c>
      <c r="F114" s="3" t="s">
        <v>126</v>
      </c>
      <c r="G114" s="3" t="s">
        <v>9</v>
      </c>
      <c r="H114" s="3" t="s">
        <v>10</v>
      </c>
      <c r="I114" s="3" t="s">
        <v>11</v>
      </c>
      <c r="J114" s="3" t="s">
        <v>101</v>
      </c>
      <c r="K114" s="3" t="s">
        <v>44</v>
      </c>
      <c r="L114" s="4">
        <v>1</v>
      </c>
      <c r="M114" s="3">
        <v>700</v>
      </c>
      <c r="N114" s="3">
        <v>1100</v>
      </c>
      <c r="O114" s="15">
        <f>Bike_Sales[[#This Row],[Order_Quantity]]*Bike_Sales[[#This Row],[Unit_Price]]</f>
        <v>1100</v>
      </c>
      <c r="P114" s="15">
        <f>Bike_Sales[[#This Row],[Order_Quantity]]*Bike_Sales[[#This Row],[Unit_Cost]]</f>
        <v>700</v>
      </c>
      <c r="Q114" s="15">
        <f>Bike_Sales[[#This Row],[Total Sales]]-Bike_Sales[[#This Row],[Total Cost]]</f>
        <v>400</v>
      </c>
      <c r="R114" s="17">
        <f>Bike_Sales[[#This Row],[Profit]]/Bike_Sales[[#This Row],[Total Sales]]</f>
        <v>0.36363636363636365</v>
      </c>
      <c r="S114" s="16" t="str">
        <f t="shared" si="1"/>
        <v>25-34</v>
      </c>
    </row>
    <row r="115" spans="1:19" x14ac:dyDescent="0.35">
      <c r="A115" s="2">
        <v>44505</v>
      </c>
      <c r="B115" s="2" t="str">
        <f>TEXT(Bike_Sales[[#This Row],[Date]],"mmmm")</f>
        <v>November</v>
      </c>
      <c r="C115" s="19">
        <f>MONTH(Bike_Sales[[#This Row],[Date]])</f>
        <v>11</v>
      </c>
      <c r="D115" s="2" t="str">
        <f>TEXT(Bike_Sales[[#This Row],[Date]],"dddd")</f>
        <v>Friday</v>
      </c>
      <c r="E115" s="3">
        <v>25</v>
      </c>
      <c r="F115" s="3" t="s">
        <v>126</v>
      </c>
      <c r="G115" s="3" t="s">
        <v>18</v>
      </c>
      <c r="H115" s="3" t="s">
        <v>19</v>
      </c>
      <c r="I115" s="3" t="s">
        <v>11</v>
      </c>
      <c r="J115" s="3" t="s">
        <v>104</v>
      </c>
      <c r="K115" s="3" t="s">
        <v>12</v>
      </c>
      <c r="L115" s="4">
        <v>1</v>
      </c>
      <c r="M115" s="3">
        <v>500</v>
      </c>
      <c r="N115" s="3">
        <v>800</v>
      </c>
      <c r="O115" s="15">
        <f>Bike_Sales[[#This Row],[Order_Quantity]]*Bike_Sales[[#This Row],[Unit_Price]]</f>
        <v>800</v>
      </c>
      <c r="P115" s="15">
        <f>Bike_Sales[[#This Row],[Order_Quantity]]*Bike_Sales[[#This Row],[Unit_Cost]]</f>
        <v>500</v>
      </c>
      <c r="Q115" s="15">
        <f>Bike_Sales[[#This Row],[Total Sales]]-Bike_Sales[[#This Row],[Total Cost]]</f>
        <v>300</v>
      </c>
      <c r="R115" s="17">
        <f>Bike_Sales[[#This Row],[Profit]]/Bike_Sales[[#This Row],[Total Sales]]</f>
        <v>0.375</v>
      </c>
      <c r="S115" s="16" t="str">
        <f t="shared" si="1"/>
        <v>25-34</v>
      </c>
    </row>
    <row r="116" spans="1:19" x14ac:dyDescent="0.35">
      <c r="A116" s="2">
        <v>44507</v>
      </c>
      <c r="B116" s="2" t="str">
        <f>TEXT(Bike_Sales[[#This Row],[Date]],"mmmm")</f>
        <v>November</v>
      </c>
      <c r="C116" s="19">
        <f>MONTH(Bike_Sales[[#This Row],[Date]])</f>
        <v>11</v>
      </c>
      <c r="D116" s="2" t="str">
        <f>TEXT(Bike_Sales[[#This Row],[Date]],"dddd")</f>
        <v>Sunday</v>
      </c>
      <c r="E116" s="3">
        <v>25</v>
      </c>
      <c r="F116" s="3" t="s">
        <v>135</v>
      </c>
      <c r="G116" s="3" t="s">
        <v>9</v>
      </c>
      <c r="H116" s="3" t="s">
        <v>69</v>
      </c>
      <c r="I116" s="3" t="s">
        <v>11</v>
      </c>
      <c r="J116" s="3" t="s">
        <v>104</v>
      </c>
      <c r="K116" s="3" t="s">
        <v>12</v>
      </c>
      <c r="L116" s="4">
        <v>3</v>
      </c>
      <c r="M116" s="3">
        <v>500</v>
      </c>
      <c r="N116" s="3">
        <v>800</v>
      </c>
      <c r="O116" s="15">
        <f>Bike_Sales[[#This Row],[Order_Quantity]]*Bike_Sales[[#This Row],[Unit_Price]]</f>
        <v>2400</v>
      </c>
      <c r="P116" s="15">
        <f>Bike_Sales[[#This Row],[Order_Quantity]]*Bike_Sales[[#This Row],[Unit_Cost]]</f>
        <v>1500</v>
      </c>
      <c r="Q116" s="15">
        <f>Bike_Sales[[#This Row],[Total Sales]]-Bike_Sales[[#This Row],[Total Cost]]</f>
        <v>900</v>
      </c>
      <c r="R116" s="17">
        <f>Bike_Sales[[#This Row],[Profit]]/Bike_Sales[[#This Row],[Total Sales]]</f>
        <v>0.375</v>
      </c>
      <c r="S116" s="16" t="str">
        <f t="shared" si="1"/>
        <v>25-34</v>
      </c>
    </row>
    <row r="117" spans="1:19" x14ac:dyDescent="0.35">
      <c r="A117" s="2">
        <v>44508</v>
      </c>
      <c r="B117" s="2" t="str">
        <f>TEXT(Bike_Sales[[#This Row],[Date]],"mmmm")</f>
        <v>November</v>
      </c>
      <c r="C117" s="19">
        <f>MONTH(Bike_Sales[[#This Row],[Date]])</f>
        <v>11</v>
      </c>
      <c r="D117" s="2" t="str">
        <f>TEXT(Bike_Sales[[#This Row],[Date]],"dddd")</f>
        <v>Monday</v>
      </c>
      <c r="E117" s="3">
        <v>25</v>
      </c>
      <c r="F117" s="3" t="s">
        <v>126</v>
      </c>
      <c r="G117" s="3" t="s">
        <v>18</v>
      </c>
      <c r="H117" s="3" t="s">
        <v>24</v>
      </c>
      <c r="I117" s="3" t="s">
        <v>11</v>
      </c>
      <c r="J117" s="3" t="s">
        <v>104</v>
      </c>
      <c r="K117" s="3" t="s">
        <v>77</v>
      </c>
      <c r="L117" s="4">
        <v>4</v>
      </c>
      <c r="M117" s="3">
        <v>500</v>
      </c>
      <c r="N117" s="3">
        <v>800</v>
      </c>
      <c r="O117" s="15">
        <f>Bike_Sales[[#This Row],[Order_Quantity]]*Bike_Sales[[#This Row],[Unit_Price]]</f>
        <v>3200</v>
      </c>
      <c r="P117" s="15">
        <f>Bike_Sales[[#This Row],[Order_Quantity]]*Bike_Sales[[#This Row],[Unit_Cost]]</f>
        <v>2000</v>
      </c>
      <c r="Q117" s="15">
        <f>Bike_Sales[[#This Row],[Total Sales]]-Bike_Sales[[#This Row],[Total Cost]]</f>
        <v>1200</v>
      </c>
      <c r="R117" s="17">
        <f>Bike_Sales[[#This Row],[Profit]]/Bike_Sales[[#This Row],[Total Sales]]</f>
        <v>0.375</v>
      </c>
      <c r="S117" s="16" t="str">
        <f t="shared" si="1"/>
        <v>25-34</v>
      </c>
    </row>
    <row r="118" spans="1:19" x14ac:dyDescent="0.35">
      <c r="A118" s="2">
        <v>44509</v>
      </c>
      <c r="B118" s="2" t="str">
        <f>TEXT(Bike_Sales[[#This Row],[Date]],"mmmm")</f>
        <v>November</v>
      </c>
      <c r="C118" s="19">
        <f>MONTH(Bike_Sales[[#This Row],[Date]])</f>
        <v>11</v>
      </c>
      <c r="D118" s="2" t="str">
        <f>TEXT(Bike_Sales[[#This Row],[Date]],"dddd")</f>
        <v>Tuesday</v>
      </c>
      <c r="E118" s="3">
        <v>25</v>
      </c>
      <c r="F118" s="3" t="s">
        <v>126</v>
      </c>
      <c r="G118" s="3" t="s">
        <v>18</v>
      </c>
      <c r="H118" s="3" t="s">
        <v>35</v>
      </c>
      <c r="I118" s="3" t="s">
        <v>11</v>
      </c>
      <c r="J118" s="3" t="s">
        <v>104</v>
      </c>
      <c r="K118" s="3" t="s">
        <v>53</v>
      </c>
      <c r="L118" s="4">
        <v>3</v>
      </c>
      <c r="M118" s="3">
        <v>500</v>
      </c>
      <c r="N118" s="3">
        <v>800</v>
      </c>
      <c r="O118" s="15">
        <f>Bike_Sales[[#This Row],[Order_Quantity]]*Bike_Sales[[#This Row],[Unit_Price]]</f>
        <v>2400</v>
      </c>
      <c r="P118" s="15">
        <f>Bike_Sales[[#This Row],[Order_Quantity]]*Bike_Sales[[#This Row],[Unit_Cost]]</f>
        <v>1500</v>
      </c>
      <c r="Q118" s="15">
        <f>Bike_Sales[[#This Row],[Total Sales]]-Bike_Sales[[#This Row],[Total Cost]]</f>
        <v>900</v>
      </c>
      <c r="R118" s="17">
        <f>Bike_Sales[[#This Row],[Profit]]/Bike_Sales[[#This Row],[Total Sales]]</f>
        <v>0.375</v>
      </c>
      <c r="S118" s="16" t="str">
        <f t="shared" si="1"/>
        <v>25-34</v>
      </c>
    </row>
    <row r="119" spans="1:19" x14ac:dyDescent="0.35">
      <c r="A119" s="2">
        <v>44510</v>
      </c>
      <c r="B119" s="2" t="str">
        <f>TEXT(Bike_Sales[[#This Row],[Date]],"mmmm")</f>
        <v>November</v>
      </c>
      <c r="C119" s="19">
        <f>MONTH(Bike_Sales[[#This Row],[Date]])</f>
        <v>11</v>
      </c>
      <c r="D119" s="2" t="str">
        <f>TEXT(Bike_Sales[[#This Row],[Date]],"dddd")</f>
        <v>Wednesday</v>
      </c>
      <c r="E119" s="3">
        <v>25</v>
      </c>
      <c r="F119" s="3" t="s">
        <v>135</v>
      </c>
      <c r="G119" s="3" t="s">
        <v>33</v>
      </c>
      <c r="H119" s="3" t="s">
        <v>128</v>
      </c>
      <c r="I119" s="3" t="s">
        <v>11</v>
      </c>
      <c r="J119" s="3" t="s">
        <v>101</v>
      </c>
      <c r="K119" s="3" t="s">
        <v>41</v>
      </c>
      <c r="L119" s="4">
        <v>1</v>
      </c>
      <c r="M119" s="3">
        <v>580</v>
      </c>
      <c r="N119" s="3">
        <v>920</v>
      </c>
      <c r="O119" s="15">
        <f>Bike_Sales[[#This Row],[Order_Quantity]]*Bike_Sales[[#This Row],[Unit_Price]]</f>
        <v>920</v>
      </c>
      <c r="P119" s="15">
        <f>Bike_Sales[[#This Row],[Order_Quantity]]*Bike_Sales[[#This Row],[Unit_Cost]]</f>
        <v>580</v>
      </c>
      <c r="Q119" s="15">
        <f>Bike_Sales[[#This Row],[Total Sales]]-Bike_Sales[[#This Row],[Total Cost]]</f>
        <v>340</v>
      </c>
      <c r="R119" s="17">
        <f>Bike_Sales[[#This Row],[Profit]]/Bike_Sales[[#This Row],[Total Sales]]</f>
        <v>0.36956521739130432</v>
      </c>
      <c r="S119" s="16" t="str">
        <f t="shared" si="1"/>
        <v>25-34</v>
      </c>
    </row>
    <row r="120" spans="1:19" x14ac:dyDescent="0.35">
      <c r="A120" s="2">
        <v>44516</v>
      </c>
      <c r="B120" s="2" t="str">
        <f>TEXT(Bike_Sales[[#This Row],[Date]],"mmmm")</f>
        <v>November</v>
      </c>
      <c r="C120" s="19">
        <f>MONTH(Bike_Sales[[#This Row],[Date]])</f>
        <v>11</v>
      </c>
      <c r="D120" s="2" t="str">
        <f>TEXT(Bike_Sales[[#This Row],[Date]],"dddd")</f>
        <v>Tuesday</v>
      </c>
      <c r="E120" s="3">
        <v>25</v>
      </c>
      <c r="F120" s="3" t="s">
        <v>126</v>
      </c>
      <c r="G120" s="3" t="s">
        <v>18</v>
      </c>
      <c r="H120" s="3" t="s">
        <v>19</v>
      </c>
      <c r="I120" s="3" t="s">
        <v>11</v>
      </c>
      <c r="J120" s="3" t="s">
        <v>104</v>
      </c>
      <c r="K120" s="3" t="s">
        <v>12</v>
      </c>
      <c r="L120" s="4">
        <v>3</v>
      </c>
      <c r="M120" s="3">
        <v>500</v>
      </c>
      <c r="N120" s="3">
        <v>800</v>
      </c>
      <c r="O120" s="15">
        <f>Bike_Sales[[#This Row],[Order_Quantity]]*Bike_Sales[[#This Row],[Unit_Price]]</f>
        <v>2400</v>
      </c>
      <c r="P120" s="15">
        <f>Bike_Sales[[#This Row],[Order_Quantity]]*Bike_Sales[[#This Row],[Unit_Cost]]</f>
        <v>1500</v>
      </c>
      <c r="Q120" s="15">
        <f>Bike_Sales[[#This Row],[Total Sales]]-Bike_Sales[[#This Row],[Total Cost]]</f>
        <v>900</v>
      </c>
      <c r="R120" s="17">
        <f>Bike_Sales[[#This Row],[Profit]]/Bike_Sales[[#This Row],[Total Sales]]</f>
        <v>0.375</v>
      </c>
      <c r="S120" s="16" t="str">
        <f t="shared" si="1"/>
        <v>25-34</v>
      </c>
    </row>
    <row r="121" spans="1:19" x14ac:dyDescent="0.35">
      <c r="A121" s="2">
        <v>44516</v>
      </c>
      <c r="B121" s="2" t="str">
        <f>TEXT(Bike_Sales[[#This Row],[Date]],"mmmm")</f>
        <v>November</v>
      </c>
      <c r="C121" s="19">
        <f>MONTH(Bike_Sales[[#This Row],[Date]])</f>
        <v>11</v>
      </c>
      <c r="D121" s="2" t="str">
        <f>TEXT(Bike_Sales[[#This Row],[Date]],"dddd")</f>
        <v>Tuesday</v>
      </c>
      <c r="E121" s="3">
        <v>25</v>
      </c>
      <c r="F121" s="3" t="s">
        <v>126</v>
      </c>
      <c r="G121" s="3" t="s">
        <v>39</v>
      </c>
      <c r="H121" s="3" t="s">
        <v>80</v>
      </c>
      <c r="I121" s="3" t="s">
        <v>11</v>
      </c>
      <c r="J121" s="3" t="s">
        <v>104</v>
      </c>
      <c r="K121" s="3" t="s">
        <v>77</v>
      </c>
      <c r="L121" s="4">
        <v>1</v>
      </c>
      <c r="M121" s="3">
        <v>500</v>
      </c>
      <c r="N121" s="3">
        <v>800</v>
      </c>
      <c r="O121" s="15">
        <f>Bike_Sales[[#This Row],[Order_Quantity]]*Bike_Sales[[#This Row],[Unit_Price]]</f>
        <v>800</v>
      </c>
      <c r="P121" s="15">
        <f>Bike_Sales[[#This Row],[Order_Quantity]]*Bike_Sales[[#This Row],[Unit_Cost]]</f>
        <v>500</v>
      </c>
      <c r="Q121" s="15">
        <f>Bike_Sales[[#This Row],[Total Sales]]-Bike_Sales[[#This Row],[Total Cost]]</f>
        <v>300</v>
      </c>
      <c r="R121" s="17">
        <f>Bike_Sales[[#This Row],[Profit]]/Bike_Sales[[#This Row],[Total Sales]]</f>
        <v>0.375</v>
      </c>
      <c r="S121" s="16" t="str">
        <f t="shared" si="1"/>
        <v>25-34</v>
      </c>
    </row>
    <row r="122" spans="1:19" x14ac:dyDescent="0.35">
      <c r="A122" s="2">
        <v>44518</v>
      </c>
      <c r="B122" s="2" t="str">
        <f>TEXT(Bike_Sales[[#This Row],[Date]],"mmmm")</f>
        <v>November</v>
      </c>
      <c r="C122" s="19">
        <f>MONTH(Bike_Sales[[#This Row],[Date]])</f>
        <v>11</v>
      </c>
      <c r="D122" s="2" t="str">
        <f>TEXT(Bike_Sales[[#This Row],[Date]],"dddd")</f>
        <v>Thursday</v>
      </c>
      <c r="E122" s="3">
        <v>25</v>
      </c>
      <c r="F122" s="3" t="s">
        <v>126</v>
      </c>
      <c r="G122" s="3" t="s">
        <v>18</v>
      </c>
      <c r="H122" s="3" t="s">
        <v>35</v>
      </c>
      <c r="I122" s="3" t="s">
        <v>11</v>
      </c>
      <c r="J122" s="3" t="s">
        <v>104</v>
      </c>
      <c r="K122" s="3" t="s">
        <v>53</v>
      </c>
      <c r="L122" s="4">
        <v>1</v>
      </c>
      <c r="M122" s="3">
        <v>500</v>
      </c>
      <c r="N122" s="3">
        <v>800</v>
      </c>
      <c r="O122" s="15">
        <f>Bike_Sales[[#This Row],[Order_Quantity]]*Bike_Sales[[#This Row],[Unit_Price]]</f>
        <v>800</v>
      </c>
      <c r="P122" s="15">
        <f>Bike_Sales[[#This Row],[Order_Quantity]]*Bike_Sales[[#This Row],[Unit_Cost]]</f>
        <v>500</v>
      </c>
      <c r="Q122" s="15">
        <f>Bike_Sales[[#This Row],[Total Sales]]-Bike_Sales[[#This Row],[Total Cost]]</f>
        <v>300</v>
      </c>
      <c r="R122" s="17">
        <f>Bike_Sales[[#This Row],[Profit]]/Bike_Sales[[#This Row],[Total Sales]]</f>
        <v>0.375</v>
      </c>
      <c r="S122" s="16" t="str">
        <f t="shared" si="1"/>
        <v>25-34</v>
      </c>
    </row>
    <row r="123" spans="1:19" x14ac:dyDescent="0.35">
      <c r="A123" s="2">
        <v>44521</v>
      </c>
      <c r="B123" s="2" t="str">
        <f>TEXT(Bike_Sales[[#This Row],[Date]],"mmmm")</f>
        <v>November</v>
      </c>
      <c r="C123" s="19">
        <f>MONTH(Bike_Sales[[#This Row],[Date]])</f>
        <v>11</v>
      </c>
      <c r="D123" s="2" t="str">
        <f>TEXT(Bike_Sales[[#This Row],[Date]],"dddd")</f>
        <v>Sunday</v>
      </c>
      <c r="E123" s="3">
        <v>25</v>
      </c>
      <c r="F123" s="3" t="s">
        <v>126</v>
      </c>
      <c r="G123" s="3" t="s">
        <v>33</v>
      </c>
      <c r="H123" s="3" t="s">
        <v>73</v>
      </c>
      <c r="I123" s="3" t="s">
        <v>11</v>
      </c>
      <c r="J123" s="3" t="s">
        <v>104</v>
      </c>
      <c r="K123" s="3" t="s">
        <v>20</v>
      </c>
      <c r="L123" s="4">
        <v>2</v>
      </c>
      <c r="M123" s="3">
        <v>530</v>
      </c>
      <c r="N123" s="3">
        <v>840</v>
      </c>
      <c r="O123" s="15">
        <f>Bike_Sales[[#This Row],[Order_Quantity]]*Bike_Sales[[#This Row],[Unit_Price]]</f>
        <v>1680</v>
      </c>
      <c r="P123" s="15">
        <f>Bike_Sales[[#This Row],[Order_Quantity]]*Bike_Sales[[#This Row],[Unit_Cost]]</f>
        <v>1060</v>
      </c>
      <c r="Q123" s="15">
        <f>Bike_Sales[[#This Row],[Total Sales]]-Bike_Sales[[#This Row],[Total Cost]]</f>
        <v>620</v>
      </c>
      <c r="R123" s="17">
        <f>Bike_Sales[[#This Row],[Profit]]/Bike_Sales[[#This Row],[Total Sales]]</f>
        <v>0.36904761904761907</v>
      </c>
      <c r="S123" s="16" t="str">
        <f t="shared" si="1"/>
        <v>25-34</v>
      </c>
    </row>
    <row r="124" spans="1:19" x14ac:dyDescent="0.35">
      <c r="A124" s="2">
        <v>44521</v>
      </c>
      <c r="B124" s="2" t="str">
        <f>TEXT(Bike_Sales[[#This Row],[Date]],"mmmm")</f>
        <v>November</v>
      </c>
      <c r="C124" s="19">
        <f>MONTH(Bike_Sales[[#This Row],[Date]])</f>
        <v>11</v>
      </c>
      <c r="D124" s="2" t="str">
        <f>TEXT(Bike_Sales[[#This Row],[Date]],"dddd")</f>
        <v>Sunday</v>
      </c>
      <c r="E124" s="3">
        <v>25</v>
      </c>
      <c r="F124" s="3" t="s">
        <v>135</v>
      </c>
      <c r="G124" s="3" t="s">
        <v>39</v>
      </c>
      <c r="H124" s="3" t="s">
        <v>79</v>
      </c>
      <c r="I124" s="3" t="s">
        <v>11</v>
      </c>
      <c r="J124" s="3" t="s">
        <v>104</v>
      </c>
      <c r="K124" s="3" t="s">
        <v>51</v>
      </c>
      <c r="L124" s="4">
        <v>1</v>
      </c>
      <c r="M124" s="3">
        <v>530</v>
      </c>
      <c r="N124" s="3">
        <v>840</v>
      </c>
      <c r="O124" s="15">
        <f>Bike_Sales[[#This Row],[Order_Quantity]]*Bike_Sales[[#This Row],[Unit_Price]]</f>
        <v>840</v>
      </c>
      <c r="P124" s="15">
        <f>Bike_Sales[[#This Row],[Order_Quantity]]*Bike_Sales[[#This Row],[Unit_Cost]]</f>
        <v>530</v>
      </c>
      <c r="Q124" s="15">
        <f>Bike_Sales[[#This Row],[Total Sales]]-Bike_Sales[[#This Row],[Total Cost]]</f>
        <v>310</v>
      </c>
      <c r="R124" s="17">
        <f>Bike_Sales[[#This Row],[Profit]]/Bike_Sales[[#This Row],[Total Sales]]</f>
        <v>0.36904761904761907</v>
      </c>
      <c r="S124" s="16" t="str">
        <f t="shared" si="1"/>
        <v>25-34</v>
      </c>
    </row>
    <row r="125" spans="1:19" x14ac:dyDescent="0.35">
      <c r="A125" s="2">
        <v>44527</v>
      </c>
      <c r="B125" s="2" t="str">
        <f>TEXT(Bike_Sales[[#This Row],[Date]],"mmmm")</f>
        <v>November</v>
      </c>
      <c r="C125" s="19">
        <f>MONTH(Bike_Sales[[#This Row],[Date]])</f>
        <v>11</v>
      </c>
      <c r="D125" s="2" t="str">
        <f>TEXT(Bike_Sales[[#This Row],[Date]],"dddd")</f>
        <v>Saturday</v>
      </c>
      <c r="E125" s="3">
        <v>25</v>
      </c>
      <c r="F125" s="3" t="s">
        <v>126</v>
      </c>
      <c r="G125" s="3" t="s">
        <v>18</v>
      </c>
      <c r="H125" s="3" t="s">
        <v>24</v>
      </c>
      <c r="I125" s="3" t="s">
        <v>11</v>
      </c>
      <c r="J125" s="3" t="s">
        <v>104</v>
      </c>
      <c r="K125" s="3" t="s">
        <v>77</v>
      </c>
      <c r="L125" s="4">
        <v>1</v>
      </c>
      <c r="M125" s="3">
        <v>500</v>
      </c>
      <c r="N125" s="3">
        <v>800</v>
      </c>
      <c r="O125" s="15">
        <f>Bike_Sales[[#This Row],[Order_Quantity]]*Bike_Sales[[#This Row],[Unit_Price]]</f>
        <v>800</v>
      </c>
      <c r="P125" s="15">
        <f>Bike_Sales[[#This Row],[Order_Quantity]]*Bike_Sales[[#This Row],[Unit_Cost]]</f>
        <v>500</v>
      </c>
      <c r="Q125" s="15">
        <f>Bike_Sales[[#This Row],[Total Sales]]-Bike_Sales[[#This Row],[Total Cost]]</f>
        <v>300</v>
      </c>
      <c r="R125" s="17">
        <f>Bike_Sales[[#This Row],[Profit]]/Bike_Sales[[#This Row],[Total Sales]]</f>
        <v>0.375</v>
      </c>
      <c r="S125" s="16" t="str">
        <f t="shared" si="1"/>
        <v>25-34</v>
      </c>
    </row>
    <row r="126" spans="1:19" x14ac:dyDescent="0.35">
      <c r="A126" s="2">
        <v>44537</v>
      </c>
      <c r="B126" s="2" t="str">
        <f>TEXT(Bike_Sales[[#This Row],[Date]],"mmmm")</f>
        <v>December</v>
      </c>
      <c r="C126" s="19">
        <f>MONTH(Bike_Sales[[#This Row],[Date]])</f>
        <v>12</v>
      </c>
      <c r="D126" s="2" t="str">
        <f>TEXT(Bike_Sales[[#This Row],[Date]],"dddd")</f>
        <v>Tuesday</v>
      </c>
      <c r="E126" s="3">
        <v>25</v>
      </c>
      <c r="F126" s="3" t="s">
        <v>126</v>
      </c>
      <c r="G126" s="3" t="s">
        <v>129</v>
      </c>
      <c r="H126" s="3" t="s">
        <v>15</v>
      </c>
      <c r="I126" s="3" t="s">
        <v>11</v>
      </c>
      <c r="J126" s="3" t="s">
        <v>102</v>
      </c>
      <c r="K126" s="3" t="s">
        <v>36</v>
      </c>
      <c r="L126" s="4">
        <v>3</v>
      </c>
      <c r="M126" s="3">
        <v>580</v>
      </c>
      <c r="N126" s="3">
        <v>920</v>
      </c>
      <c r="O126" s="15">
        <f>Bike_Sales[[#This Row],[Order_Quantity]]*Bike_Sales[[#This Row],[Unit_Price]]</f>
        <v>2760</v>
      </c>
      <c r="P126" s="15">
        <f>Bike_Sales[[#This Row],[Order_Quantity]]*Bike_Sales[[#This Row],[Unit_Cost]]</f>
        <v>1740</v>
      </c>
      <c r="Q126" s="15">
        <f>Bike_Sales[[#This Row],[Total Sales]]-Bike_Sales[[#This Row],[Total Cost]]</f>
        <v>1020</v>
      </c>
      <c r="R126" s="17">
        <f>Bike_Sales[[#This Row],[Profit]]/Bike_Sales[[#This Row],[Total Sales]]</f>
        <v>0.36956521739130432</v>
      </c>
      <c r="S126" s="16" t="str">
        <f t="shared" si="1"/>
        <v>25-34</v>
      </c>
    </row>
    <row r="127" spans="1:19" x14ac:dyDescent="0.35">
      <c r="A127" s="2">
        <v>44537</v>
      </c>
      <c r="B127" s="2" t="str">
        <f>TEXT(Bike_Sales[[#This Row],[Date]],"mmmm")</f>
        <v>December</v>
      </c>
      <c r="C127" s="19">
        <f>MONTH(Bike_Sales[[#This Row],[Date]])</f>
        <v>12</v>
      </c>
      <c r="D127" s="2" t="str">
        <f>TEXT(Bike_Sales[[#This Row],[Date]],"dddd")</f>
        <v>Tuesday</v>
      </c>
      <c r="E127" s="3">
        <v>25</v>
      </c>
      <c r="F127" s="3" t="s">
        <v>135</v>
      </c>
      <c r="G127" s="3" t="s">
        <v>129</v>
      </c>
      <c r="H127" s="3" t="s">
        <v>15</v>
      </c>
      <c r="I127" s="3" t="s">
        <v>11</v>
      </c>
      <c r="J127" s="3" t="s">
        <v>101</v>
      </c>
      <c r="K127" s="3" t="s">
        <v>85</v>
      </c>
      <c r="L127" s="4">
        <v>1</v>
      </c>
      <c r="M127" s="3">
        <v>620</v>
      </c>
      <c r="N127" s="3">
        <v>980</v>
      </c>
      <c r="O127" s="15">
        <f>Bike_Sales[[#This Row],[Order_Quantity]]*Bike_Sales[[#This Row],[Unit_Price]]</f>
        <v>980</v>
      </c>
      <c r="P127" s="15">
        <f>Bike_Sales[[#This Row],[Order_Quantity]]*Bike_Sales[[#This Row],[Unit_Cost]]</f>
        <v>620</v>
      </c>
      <c r="Q127" s="15">
        <f>Bike_Sales[[#This Row],[Total Sales]]-Bike_Sales[[#This Row],[Total Cost]]</f>
        <v>360</v>
      </c>
      <c r="R127" s="17">
        <f>Bike_Sales[[#This Row],[Profit]]/Bike_Sales[[#This Row],[Total Sales]]</f>
        <v>0.36734693877551022</v>
      </c>
      <c r="S127" s="16" t="str">
        <f t="shared" si="1"/>
        <v>25-34</v>
      </c>
    </row>
    <row r="128" spans="1:19" x14ac:dyDescent="0.35">
      <c r="A128" s="2">
        <v>44538</v>
      </c>
      <c r="B128" s="2" t="str">
        <f>TEXT(Bike_Sales[[#This Row],[Date]],"mmmm")</f>
        <v>December</v>
      </c>
      <c r="C128" s="19">
        <f>MONTH(Bike_Sales[[#This Row],[Date]])</f>
        <v>12</v>
      </c>
      <c r="D128" s="2" t="str">
        <f>TEXT(Bike_Sales[[#This Row],[Date]],"dddd")</f>
        <v>Wednesday</v>
      </c>
      <c r="E128" s="3">
        <v>25</v>
      </c>
      <c r="F128" s="3" t="s">
        <v>135</v>
      </c>
      <c r="G128" s="3" t="s">
        <v>18</v>
      </c>
      <c r="H128" s="3" t="s">
        <v>35</v>
      </c>
      <c r="I128" s="3" t="s">
        <v>11</v>
      </c>
      <c r="J128" s="3" t="s">
        <v>104</v>
      </c>
      <c r="K128" s="3" t="s">
        <v>52</v>
      </c>
      <c r="L128" s="4">
        <v>4</v>
      </c>
      <c r="M128" s="3">
        <v>530</v>
      </c>
      <c r="N128" s="3">
        <v>840</v>
      </c>
      <c r="O128" s="15">
        <f>Bike_Sales[[#This Row],[Order_Quantity]]*Bike_Sales[[#This Row],[Unit_Price]]</f>
        <v>3360</v>
      </c>
      <c r="P128" s="15">
        <f>Bike_Sales[[#This Row],[Order_Quantity]]*Bike_Sales[[#This Row],[Unit_Cost]]</f>
        <v>2120</v>
      </c>
      <c r="Q128" s="15">
        <f>Bike_Sales[[#This Row],[Total Sales]]-Bike_Sales[[#This Row],[Total Cost]]</f>
        <v>1240</v>
      </c>
      <c r="R128" s="17">
        <f>Bike_Sales[[#This Row],[Profit]]/Bike_Sales[[#This Row],[Total Sales]]</f>
        <v>0.36904761904761907</v>
      </c>
      <c r="S128" s="16" t="str">
        <f t="shared" si="1"/>
        <v>25-34</v>
      </c>
    </row>
    <row r="129" spans="1:19" x14ac:dyDescent="0.35">
      <c r="A129" s="2">
        <v>44549</v>
      </c>
      <c r="B129" s="2" t="str">
        <f>TEXT(Bike_Sales[[#This Row],[Date]],"mmmm")</f>
        <v>December</v>
      </c>
      <c r="C129" s="19">
        <f>MONTH(Bike_Sales[[#This Row],[Date]])</f>
        <v>12</v>
      </c>
      <c r="D129" s="2" t="str">
        <f>TEXT(Bike_Sales[[#This Row],[Date]],"dddd")</f>
        <v>Sunday</v>
      </c>
      <c r="E129" s="3">
        <v>25</v>
      </c>
      <c r="F129" s="3" t="s">
        <v>126</v>
      </c>
      <c r="G129" s="3" t="s">
        <v>39</v>
      </c>
      <c r="H129" s="3" t="s">
        <v>80</v>
      </c>
      <c r="I129" s="3" t="s">
        <v>16</v>
      </c>
      <c r="J129" s="3" t="s">
        <v>101</v>
      </c>
      <c r="K129" s="3" t="s">
        <v>17</v>
      </c>
      <c r="L129" s="4">
        <v>4</v>
      </c>
      <c r="M129" s="3">
        <v>550</v>
      </c>
      <c r="N129" s="3">
        <v>850</v>
      </c>
      <c r="O129" s="15">
        <f>Bike_Sales[[#This Row],[Order_Quantity]]*Bike_Sales[[#This Row],[Unit_Price]]</f>
        <v>3400</v>
      </c>
      <c r="P129" s="15">
        <f>Bike_Sales[[#This Row],[Order_Quantity]]*Bike_Sales[[#This Row],[Unit_Cost]]</f>
        <v>2200</v>
      </c>
      <c r="Q129" s="15">
        <f>Bike_Sales[[#This Row],[Total Sales]]-Bike_Sales[[#This Row],[Total Cost]]</f>
        <v>1200</v>
      </c>
      <c r="R129" s="17">
        <f>Bike_Sales[[#This Row],[Profit]]/Bike_Sales[[#This Row],[Total Sales]]</f>
        <v>0.35294117647058826</v>
      </c>
      <c r="S129" s="16" t="str">
        <f t="shared" si="1"/>
        <v>25-34</v>
      </c>
    </row>
    <row r="130" spans="1:19" x14ac:dyDescent="0.35">
      <c r="A130" s="2">
        <v>44552</v>
      </c>
      <c r="B130" s="2" t="str">
        <f>TEXT(Bike_Sales[[#This Row],[Date]],"mmmm")</f>
        <v>December</v>
      </c>
      <c r="C130" s="19">
        <f>MONTH(Bike_Sales[[#This Row],[Date]])</f>
        <v>12</v>
      </c>
      <c r="D130" s="2" t="str">
        <f>TEXT(Bike_Sales[[#This Row],[Date]],"dddd")</f>
        <v>Wednesday</v>
      </c>
      <c r="E130" s="3">
        <v>25</v>
      </c>
      <c r="F130" s="3" t="s">
        <v>126</v>
      </c>
      <c r="G130" s="3" t="s">
        <v>39</v>
      </c>
      <c r="H130" s="3" t="s">
        <v>80</v>
      </c>
      <c r="I130" s="3" t="s">
        <v>16</v>
      </c>
      <c r="J130" s="3" t="s">
        <v>101</v>
      </c>
      <c r="K130" s="3" t="s">
        <v>17</v>
      </c>
      <c r="L130" s="4">
        <v>1</v>
      </c>
      <c r="M130" s="3">
        <v>550</v>
      </c>
      <c r="N130" s="3">
        <v>850</v>
      </c>
      <c r="O130" s="15">
        <f>Bike_Sales[[#This Row],[Order_Quantity]]*Bike_Sales[[#This Row],[Unit_Price]]</f>
        <v>850</v>
      </c>
      <c r="P130" s="15">
        <f>Bike_Sales[[#This Row],[Order_Quantity]]*Bike_Sales[[#This Row],[Unit_Cost]]</f>
        <v>550</v>
      </c>
      <c r="Q130" s="15">
        <f>Bike_Sales[[#This Row],[Total Sales]]-Bike_Sales[[#This Row],[Total Cost]]</f>
        <v>300</v>
      </c>
      <c r="R130" s="17">
        <f>Bike_Sales[[#This Row],[Profit]]/Bike_Sales[[#This Row],[Total Sales]]</f>
        <v>0.35294117647058826</v>
      </c>
      <c r="S130" s="16" t="str">
        <f t="shared" ref="S130:S193" si="2">IF(E130&lt;25,"Under 25",IF(E130&lt;35,"25-34",IF(E130&lt;45,"35-44",IF(E130&lt;55,"45-54","55+"))))</f>
        <v>25-34</v>
      </c>
    </row>
    <row r="131" spans="1:19" x14ac:dyDescent="0.35">
      <c r="A131" s="2">
        <v>44554</v>
      </c>
      <c r="B131" s="2" t="str">
        <f>TEXT(Bike_Sales[[#This Row],[Date]],"mmmm")</f>
        <v>December</v>
      </c>
      <c r="C131" s="19">
        <f>MONTH(Bike_Sales[[#This Row],[Date]])</f>
        <v>12</v>
      </c>
      <c r="D131" s="2" t="str">
        <f>TEXT(Bike_Sales[[#This Row],[Date]],"dddd")</f>
        <v>Friday</v>
      </c>
      <c r="E131" s="3">
        <v>25</v>
      </c>
      <c r="F131" s="3" t="s">
        <v>126</v>
      </c>
      <c r="G131" s="3" t="s">
        <v>39</v>
      </c>
      <c r="H131" s="3" t="s">
        <v>76</v>
      </c>
      <c r="I131" s="3" t="s">
        <v>16</v>
      </c>
      <c r="J131" s="3" t="s">
        <v>103</v>
      </c>
      <c r="K131" s="3" t="s">
        <v>45</v>
      </c>
      <c r="L131" s="4">
        <v>3</v>
      </c>
      <c r="M131" s="3">
        <v>550</v>
      </c>
      <c r="N131" s="3">
        <v>850</v>
      </c>
      <c r="O131" s="15">
        <f>Bike_Sales[[#This Row],[Order_Quantity]]*Bike_Sales[[#This Row],[Unit_Price]]</f>
        <v>2550</v>
      </c>
      <c r="P131" s="15">
        <f>Bike_Sales[[#This Row],[Order_Quantity]]*Bike_Sales[[#This Row],[Unit_Cost]]</f>
        <v>1650</v>
      </c>
      <c r="Q131" s="15">
        <f>Bike_Sales[[#This Row],[Total Sales]]-Bike_Sales[[#This Row],[Total Cost]]</f>
        <v>900</v>
      </c>
      <c r="R131" s="17">
        <f>Bike_Sales[[#This Row],[Profit]]/Bike_Sales[[#This Row],[Total Sales]]</f>
        <v>0.35294117647058826</v>
      </c>
      <c r="S131" s="16" t="str">
        <f t="shared" si="2"/>
        <v>25-34</v>
      </c>
    </row>
    <row r="132" spans="1:19" x14ac:dyDescent="0.35">
      <c r="A132" s="2">
        <v>44555</v>
      </c>
      <c r="B132" s="2" t="str">
        <f>TEXT(Bike_Sales[[#This Row],[Date]],"mmmm")</f>
        <v>December</v>
      </c>
      <c r="C132" s="19">
        <f>MONTH(Bike_Sales[[#This Row],[Date]])</f>
        <v>12</v>
      </c>
      <c r="D132" s="2" t="str">
        <f>TEXT(Bike_Sales[[#This Row],[Date]],"dddd")</f>
        <v>Saturday</v>
      </c>
      <c r="E132" s="3">
        <v>25</v>
      </c>
      <c r="F132" s="3" t="s">
        <v>126</v>
      </c>
      <c r="G132" s="3" t="s">
        <v>33</v>
      </c>
      <c r="H132" s="3" t="s">
        <v>61</v>
      </c>
      <c r="I132" s="3" t="s">
        <v>11</v>
      </c>
      <c r="J132" s="3" t="s">
        <v>101</v>
      </c>
      <c r="K132" s="3" t="s">
        <v>46</v>
      </c>
      <c r="L132" s="4">
        <v>3</v>
      </c>
      <c r="M132" s="3">
        <v>580</v>
      </c>
      <c r="N132" s="3">
        <v>920</v>
      </c>
      <c r="O132" s="15">
        <f>Bike_Sales[[#This Row],[Order_Quantity]]*Bike_Sales[[#This Row],[Unit_Price]]</f>
        <v>2760</v>
      </c>
      <c r="P132" s="15">
        <f>Bike_Sales[[#This Row],[Order_Quantity]]*Bike_Sales[[#This Row],[Unit_Cost]]</f>
        <v>1740</v>
      </c>
      <c r="Q132" s="15">
        <f>Bike_Sales[[#This Row],[Total Sales]]-Bike_Sales[[#This Row],[Total Cost]]</f>
        <v>1020</v>
      </c>
      <c r="R132" s="17">
        <f>Bike_Sales[[#This Row],[Profit]]/Bike_Sales[[#This Row],[Total Sales]]</f>
        <v>0.36956521739130432</v>
      </c>
      <c r="S132" s="16" t="str">
        <f t="shared" si="2"/>
        <v>25-34</v>
      </c>
    </row>
    <row r="133" spans="1:19" x14ac:dyDescent="0.35">
      <c r="A133" s="2">
        <v>44556</v>
      </c>
      <c r="B133" s="2" t="str">
        <f>TEXT(Bike_Sales[[#This Row],[Date]],"mmmm")</f>
        <v>December</v>
      </c>
      <c r="C133" s="19">
        <f>MONTH(Bike_Sales[[#This Row],[Date]])</f>
        <v>12</v>
      </c>
      <c r="D133" s="2" t="str">
        <f>TEXT(Bike_Sales[[#This Row],[Date]],"dddd")</f>
        <v>Sunday</v>
      </c>
      <c r="E133" s="3">
        <v>25</v>
      </c>
      <c r="F133" s="3" t="s">
        <v>135</v>
      </c>
      <c r="G133" s="3" t="s">
        <v>129</v>
      </c>
      <c r="H133" s="3" t="s">
        <v>15</v>
      </c>
      <c r="I133" s="3" t="s">
        <v>16</v>
      </c>
      <c r="J133" s="3" t="s">
        <v>101</v>
      </c>
      <c r="K133" s="3" t="s">
        <v>25</v>
      </c>
      <c r="L133" s="4">
        <v>1</v>
      </c>
      <c r="M133" s="3">
        <v>550</v>
      </c>
      <c r="N133" s="3">
        <v>850</v>
      </c>
      <c r="O133" s="15">
        <f>Bike_Sales[[#This Row],[Order_Quantity]]*Bike_Sales[[#This Row],[Unit_Price]]</f>
        <v>850</v>
      </c>
      <c r="P133" s="15">
        <f>Bike_Sales[[#This Row],[Order_Quantity]]*Bike_Sales[[#This Row],[Unit_Cost]]</f>
        <v>550</v>
      </c>
      <c r="Q133" s="15">
        <f>Bike_Sales[[#This Row],[Total Sales]]-Bike_Sales[[#This Row],[Total Cost]]</f>
        <v>300</v>
      </c>
      <c r="R133" s="17">
        <f>Bike_Sales[[#This Row],[Profit]]/Bike_Sales[[#This Row],[Total Sales]]</f>
        <v>0.35294117647058826</v>
      </c>
      <c r="S133" s="16" t="str">
        <f t="shared" si="2"/>
        <v>25-34</v>
      </c>
    </row>
    <row r="134" spans="1:19" x14ac:dyDescent="0.35">
      <c r="A134" s="2">
        <v>44559</v>
      </c>
      <c r="B134" s="2" t="str">
        <f>TEXT(Bike_Sales[[#This Row],[Date]],"mmmm")</f>
        <v>December</v>
      </c>
      <c r="C134" s="19">
        <f>MONTH(Bike_Sales[[#This Row],[Date]])</f>
        <v>12</v>
      </c>
      <c r="D134" s="2" t="str">
        <f>TEXT(Bike_Sales[[#This Row],[Date]],"dddd")</f>
        <v>Wednesday</v>
      </c>
      <c r="E134" s="3">
        <v>25</v>
      </c>
      <c r="F134" s="3" t="s">
        <v>126</v>
      </c>
      <c r="G134" s="3" t="s">
        <v>13</v>
      </c>
      <c r="H134" s="3" t="s">
        <v>127</v>
      </c>
      <c r="I134" s="3" t="s">
        <v>11</v>
      </c>
      <c r="J134" s="3" t="s">
        <v>102</v>
      </c>
      <c r="K134" s="3" t="s">
        <v>47</v>
      </c>
      <c r="L134" s="4">
        <v>3</v>
      </c>
      <c r="M134" s="3">
        <v>900</v>
      </c>
      <c r="N134" s="3">
        <v>1400</v>
      </c>
      <c r="O134" s="15">
        <f>Bike_Sales[[#This Row],[Order_Quantity]]*Bike_Sales[[#This Row],[Unit_Price]]</f>
        <v>4200</v>
      </c>
      <c r="P134" s="15">
        <f>Bike_Sales[[#This Row],[Order_Quantity]]*Bike_Sales[[#This Row],[Unit_Cost]]</f>
        <v>2700</v>
      </c>
      <c r="Q134" s="15">
        <f>Bike_Sales[[#This Row],[Total Sales]]-Bike_Sales[[#This Row],[Total Cost]]</f>
        <v>1500</v>
      </c>
      <c r="R134" s="17">
        <f>Bike_Sales[[#This Row],[Profit]]/Bike_Sales[[#This Row],[Total Sales]]</f>
        <v>0.35714285714285715</v>
      </c>
      <c r="S134" s="16" t="str">
        <f t="shared" si="2"/>
        <v>25-34</v>
      </c>
    </row>
    <row r="135" spans="1:19" x14ac:dyDescent="0.35">
      <c r="A135" s="2">
        <v>44560</v>
      </c>
      <c r="B135" s="2" t="str">
        <f>TEXT(Bike_Sales[[#This Row],[Date]],"mmmm")</f>
        <v>December</v>
      </c>
      <c r="C135" s="19">
        <f>MONTH(Bike_Sales[[#This Row],[Date]])</f>
        <v>12</v>
      </c>
      <c r="D135" s="2" t="str">
        <f>TEXT(Bike_Sales[[#This Row],[Date]],"dddd")</f>
        <v>Thursday</v>
      </c>
      <c r="E135" s="3">
        <v>25</v>
      </c>
      <c r="F135" s="3" t="s">
        <v>135</v>
      </c>
      <c r="G135" s="3" t="s">
        <v>129</v>
      </c>
      <c r="H135" s="3" t="s">
        <v>15</v>
      </c>
      <c r="I135" s="3" t="s">
        <v>16</v>
      </c>
      <c r="J135" s="3" t="s">
        <v>101</v>
      </c>
      <c r="K135" s="3" t="s">
        <v>25</v>
      </c>
      <c r="L135" s="4">
        <v>2</v>
      </c>
      <c r="M135" s="3">
        <v>550</v>
      </c>
      <c r="N135" s="3">
        <v>850</v>
      </c>
      <c r="O135" s="15">
        <f>Bike_Sales[[#This Row],[Order_Quantity]]*Bike_Sales[[#This Row],[Unit_Price]]</f>
        <v>1700</v>
      </c>
      <c r="P135" s="15">
        <f>Bike_Sales[[#This Row],[Order_Quantity]]*Bike_Sales[[#This Row],[Unit_Cost]]</f>
        <v>1100</v>
      </c>
      <c r="Q135" s="15">
        <f>Bike_Sales[[#This Row],[Total Sales]]-Bike_Sales[[#This Row],[Total Cost]]</f>
        <v>600</v>
      </c>
      <c r="R135" s="17">
        <f>Bike_Sales[[#This Row],[Profit]]/Bike_Sales[[#This Row],[Total Sales]]</f>
        <v>0.35294117647058826</v>
      </c>
      <c r="S135" s="16" t="str">
        <f t="shared" si="2"/>
        <v>25-34</v>
      </c>
    </row>
    <row r="136" spans="1:19" x14ac:dyDescent="0.35">
      <c r="A136" s="2">
        <v>44561</v>
      </c>
      <c r="B136" s="2" t="str">
        <f>TEXT(Bike_Sales[[#This Row],[Date]],"mmmm")</f>
        <v>December</v>
      </c>
      <c r="C136" s="19">
        <f>MONTH(Bike_Sales[[#This Row],[Date]])</f>
        <v>12</v>
      </c>
      <c r="D136" s="2" t="str">
        <f>TEXT(Bike_Sales[[#This Row],[Date]],"dddd")</f>
        <v>Friday</v>
      </c>
      <c r="E136" s="3">
        <v>25</v>
      </c>
      <c r="F136" s="3" t="s">
        <v>135</v>
      </c>
      <c r="G136" s="3" t="s">
        <v>33</v>
      </c>
      <c r="H136" s="3" t="s">
        <v>73</v>
      </c>
      <c r="I136" s="3" t="s">
        <v>11</v>
      </c>
      <c r="J136" s="3" t="s">
        <v>104</v>
      </c>
      <c r="K136" s="3" t="s">
        <v>53</v>
      </c>
      <c r="L136" s="4">
        <v>1</v>
      </c>
      <c r="M136" s="3">
        <v>500</v>
      </c>
      <c r="N136" s="3">
        <v>800</v>
      </c>
      <c r="O136" s="15">
        <f>Bike_Sales[[#This Row],[Order_Quantity]]*Bike_Sales[[#This Row],[Unit_Price]]</f>
        <v>800</v>
      </c>
      <c r="P136" s="15">
        <f>Bike_Sales[[#This Row],[Order_Quantity]]*Bike_Sales[[#This Row],[Unit_Cost]]</f>
        <v>500</v>
      </c>
      <c r="Q136" s="15">
        <f>Bike_Sales[[#This Row],[Total Sales]]-Bike_Sales[[#This Row],[Total Cost]]</f>
        <v>300</v>
      </c>
      <c r="R136" s="17">
        <f>Bike_Sales[[#This Row],[Profit]]/Bike_Sales[[#This Row],[Total Sales]]</f>
        <v>0.375</v>
      </c>
      <c r="S136" s="16" t="str">
        <f t="shared" si="2"/>
        <v>25-34</v>
      </c>
    </row>
    <row r="137" spans="1:19" x14ac:dyDescent="0.35">
      <c r="A137" s="2">
        <v>44475</v>
      </c>
      <c r="B137" s="2" t="str">
        <f>TEXT(Bike_Sales[[#This Row],[Date]],"mmmm")</f>
        <v>October</v>
      </c>
      <c r="C137" s="19">
        <f>MONTH(Bike_Sales[[#This Row],[Date]])</f>
        <v>10</v>
      </c>
      <c r="D137" s="2" t="str">
        <f>TEXT(Bike_Sales[[#This Row],[Date]],"dddd")</f>
        <v>Wednesday</v>
      </c>
      <c r="E137" s="3">
        <v>26</v>
      </c>
      <c r="F137" s="3" t="s">
        <v>135</v>
      </c>
      <c r="G137" s="3" t="s">
        <v>18</v>
      </c>
      <c r="H137" s="3" t="s">
        <v>24</v>
      </c>
      <c r="I137" s="3" t="s">
        <v>16</v>
      </c>
      <c r="J137" s="3" t="s">
        <v>101</v>
      </c>
      <c r="K137" s="3" t="s">
        <v>49</v>
      </c>
      <c r="L137" s="4">
        <v>3</v>
      </c>
      <c r="M137" s="3">
        <v>550</v>
      </c>
      <c r="N137" s="3">
        <v>850</v>
      </c>
      <c r="O137" s="15">
        <f>Bike_Sales[[#This Row],[Order_Quantity]]*Bike_Sales[[#This Row],[Unit_Price]]</f>
        <v>2550</v>
      </c>
      <c r="P137" s="15">
        <f>Bike_Sales[[#This Row],[Order_Quantity]]*Bike_Sales[[#This Row],[Unit_Cost]]</f>
        <v>1650</v>
      </c>
      <c r="Q137" s="15">
        <f>Bike_Sales[[#This Row],[Total Sales]]-Bike_Sales[[#This Row],[Total Cost]]</f>
        <v>900</v>
      </c>
      <c r="R137" s="17">
        <f>Bike_Sales[[#This Row],[Profit]]/Bike_Sales[[#This Row],[Total Sales]]</f>
        <v>0.35294117647058826</v>
      </c>
      <c r="S137" s="16" t="str">
        <f t="shared" si="2"/>
        <v>25-34</v>
      </c>
    </row>
    <row r="138" spans="1:19" x14ac:dyDescent="0.35">
      <c r="A138" s="2">
        <v>44475</v>
      </c>
      <c r="B138" s="2" t="str">
        <f>TEXT(Bike_Sales[[#This Row],[Date]],"mmmm")</f>
        <v>October</v>
      </c>
      <c r="C138" s="19">
        <f>MONTH(Bike_Sales[[#This Row],[Date]])</f>
        <v>10</v>
      </c>
      <c r="D138" s="2" t="str">
        <f>TEXT(Bike_Sales[[#This Row],[Date]],"dddd")</f>
        <v>Wednesday</v>
      </c>
      <c r="E138" s="3">
        <v>26</v>
      </c>
      <c r="F138" s="3" t="s">
        <v>126</v>
      </c>
      <c r="G138" s="3" t="s">
        <v>18</v>
      </c>
      <c r="H138" s="3" t="s">
        <v>35</v>
      </c>
      <c r="I138" s="3" t="s">
        <v>11</v>
      </c>
      <c r="J138" s="3" t="s">
        <v>101</v>
      </c>
      <c r="K138" s="3" t="s">
        <v>44</v>
      </c>
      <c r="L138" s="4">
        <v>1</v>
      </c>
      <c r="M138" s="3">
        <v>700</v>
      </c>
      <c r="N138" s="3">
        <v>1100</v>
      </c>
      <c r="O138" s="15">
        <f>Bike_Sales[[#This Row],[Order_Quantity]]*Bike_Sales[[#This Row],[Unit_Price]]</f>
        <v>1100</v>
      </c>
      <c r="P138" s="15">
        <f>Bike_Sales[[#This Row],[Order_Quantity]]*Bike_Sales[[#This Row],[Unit_Cost]]</f>
        <v>700</v>
      </c>
      <c r="Q138" s="15">
        <f>Bike_Sales[[#This Row],[Total Sales]]-Bike_Sales[[#This Row],[Total Cost]]</f>
        <v>400</v>
      </c>
      <c r="R138" s="17">
        <f>Bike_Sales[[#This Row],[Profit]]/Bike_Sales[[#This Row],[Total Sales]]</f>
        <v>0.36363636363636365</v>
      </c>
      <c r="S138" s="16" t="str">
        <f t="shared" si="2"/>
        <v>25-34</v>
      </c>
    </row>
    <row r="139" spans="1:19" x14ac:dyDescent="0.35">
      <c r="A139" s="2">
        <v>44480</v>
      </c>
      <c r="B139" s="2" t="str">
        <f>TEXT(Bike_Sales[[#This Row],[Date]],"mmmm")</f>
        <v>October</v>
      </c>
      <c r="C139" s="19">
        <f>MONTH(Bike_Sales[[#This Row],[Date]])</f>
        <v>10</v>
      </c>
      <c r="D139" s="2" t="str">
        <f>TEXT(Bike_Sales[[#This Row],[Date]],"dddd")</f>
        <v>Monday</v>
      </c>
      <c r="E139" s="3">
        <v>26</v>
      </c>
      <c r="F139" s="3" t="s">
        <v>135</v>
      </c>
      <c r="G139" s="3" t="s">
        <v>39</v>
      </c>
      <c r="H139" s="3" t="s">
        <v>131</v>
      </c>
      <c r="I139" s="3" t="s">
        <v>11</v>
      </c>
      <c r="J139" s="3" t="s">
        <v>101</v>
      </c>
      <c r="K139" s="3" t="s">
        <v>60</v>
      </c>
      <c r="L139" s="4">
        <v>1</v>
      </c>
      <c r="M139" s="3">
        <v>700</v>
      </c>
      <c r="N139" s="3">
        <v>1100</v>
      </c>
      <c r="O139" s="15">
        <f>Bike_Sales[[#This Row],[Order_Quantity]]*Bike_Sales[[#This Row],[Unit_Price]]</f>
        <v>1100</v>
      </c>
      <c r="P139" s="15">
        <f>Bike_Sales[[#This Row],[Order_Quantity]]*Bike_Sales[[#This Row],[Unit_Cost]]</f>
        <v>700</v>
      </c>
      <c r="Q139" s="15">
        <f>Bike_Sales[[#This Row],[Total Sales]]-Bike_Sales[[#This Row],[Total Cost]]</f>
        <v>400</v>
      </c>
      <c r="R139" s="17">
        <f>Bike_Sales[[#This Row],[Profit]]/Bike_Sales[[#This Row],[Total Sales]]</f>
        <v>0.36363636363636365</v>
      </c>
      <c r="S139" s="16" t="str">
        <f t="shared" si="2"/>
        <v>25-34</v>
      </c>
    </row>
    <row r="140" spans="1:19" x14ac:dyDescent="0.35">
      <c r="A140" s="2">
        <v>44480</v>
      </c>
      <c r="B140" s="2" t="str">
        <f>TEXT(Bike_Sales[[#This Row],[Date]],"mmmm")</f>
        <v>October</v>
      </c>
      <c r="C140" s="19">
        <f>MONTH(Bike_Sales[[#This Row],[Date]])</f>
        <v>10</v>
      </c>
      <c r="D140" s="2" t="str">
        <f>TEXT(Bike_Sales[[#This Row],[Date]],"dddd")</f>
        <v>Monday</v>
      </c>
      <c r="E140" s="3">
        <v>26</v>
      </c>
      <c r="F140" s="3" t="s">
        <v>126</v>
      </c>
      <c r="G140" s="3" t="s">
        <v>33</v>
      </c>
      <c r="H140" s="3" t="s">
        <v>61</v>
      </c>
      <c r="I140" s="3" t="s">
        <v>11</v>
      </c>
      <c r="J140" s="3" t="s">
        <v>102</v>
      </c>
      <c r="K140" s="3" t="s">
        <v>62</v>
      </c>
      <c r="L140" s="4">
        <v>1</v>
      </c>
      <c r="M140" s="3">
        <v>580</v>
      </c>
      <c r="N140" s="3">
        <v>920</v>
      </c>
      <c r="O140" s="15">
        <f>Bike_Sales[[#This Row],[Order_Quantity]]*Bike_Sales[[#This Row],[Unit_Price]]</f>
        <v>920</v>
      </c>
      <c r="P140" s="15">
        <f>Bike_Sales[[#This Row],[Order_Quantity]]*Bike_Sales[[#This Row],[Unit_Cost]]</f>
        <v>580</v>
      </c>
      <c r="Q140" s="15">
        <f>Bike_Sales[[#This Row],[Total Sales]]-Bike_Sales[[#This Row],[Total Cost]]</f>
        <v>340</v>
      </c>
      <c r="R140" s="17">
        <f>Bike_Sales[[#This Row],[Profit]]/Bike_Sales[[#This Row],[Total Sales]]</f>
        <v>0.36956521739130432</v>
      </c>
      <c r="S140" s="16" t="str">
        <f t="shared" si="2"/>
        <v>25-34</v>
      </c>
    </row>
    <row r="141" spans="1:19" x14ac:dyDescent="0.35">
      <c r="A141" s="2">
        <v>44481</v>
      </c>
      <c r="B141" s="2" t="str">
        <f>TEXT(Bike_Sales[[#This Row],[Date]],"mmmm")</f>
        <v>October</v>
      </c>
      <c r="C141" s="19">
        <f>MONTH(Bike_Sales[[#This Row],[Date]])</f>
        <v>10</v>
      </c>
      <c r="D141" s="2" t="str">
        <f>TEXT(Bike_Sales[[#This Row],[Date]],"dddd")</f>
        <v>Tuesday</v>
      </c>
      <c r="E141" s="3">
        <v>26</v>
      </c>
      <c r="F141" s="3" t="s">
        <v>135</v>
      </c>
      <c r="G141" s="3" t="s">
        <v>18</v>
      </c>
      <c r="H141" s="3" t="s">
        <v>24</v>
      </c>
      <c r="I141" s="3" t="s">
        <v>11</v>
      </c>
      <c r="J141" s="3" t="s">
        <v>102</v>
      </c>
      <c r="K141" s="3" t="s">
        <v>36</v>
      </c>
      <c r="L141" s="4">
        <v>1</v>
      </c>
      <c r="M141" s="3">
        <v>580</v>
      </c>
      <c r="N141" s="3">
        <v>920</v>
      </c>
      <c r="O141" s="15">
        <f>Bike_Sales[[#This Row],[Order_Quantity]]*Bike_Sales[[#This Row],[Unit_Price]]</f>
        <v>920</v>
      </c>
      <c r="P141" s="15">
        <f>Bike_Sales[[#This Row],[Order_Quantity]]*Bike_Sales[[#This Row],[Unit_Cost]]</f>
        <v>580</v>
      </c>
      <c r="Q141" s="15">
        <f>Bike_Sales[[#This Row],[Total Sales]]-Bike_Sales[[#This Row],[Total Cost]]</f>
        <v>340</v>
      </c>
      <c r="R141" s="17">
        <f>Bike_Sales[[#This Row],[Profit]]/Bike_Sales[[#This Row],[Total Sales]]</f>
        <v>0.36956521739130432</v>
      </c>
      <c r="S141" s="16" t="str">
        <f t="shared" si="2"/>
        <v>25-34</v>
      </c>
    </row>
    <row r="142" spans="1:19" x14ac:dyDescent="0.35">
      <c r="A142" s="2">
        <v>44486</v>
      </c>
      <c r="B142" s="2" t="str">
        <f>TEXT(Bike_Sales[[#This Row],[Date]],"mmmm")</f>
        <v>October</v>
      </c>
      <c r="C142" s="19">
        <f>MONTH(Bike_Sales[[#This Row],[Date]])</f>
        <v>10</v>
      </c>
      <c r="D142" s="2" t="str">
        <f>TEXT(Bike_Sales[[#This Row],[Date]],"dddd")</f>
        <v>Sunday</v>
      </c>
      <c r="E142" s="3">
        <v>26</v>
      </c>
      <c r="F142" s="3" t="s">
        <v>135</v>
      </c>
      <c r="G142" s="3" t="s">
        <v>33</v>
      </c>
      <c r="H142" s="3" t="s">
        <v>73</v>
      </c>
      <c r="I142" s="3" t="s">
        <v>11</v>
      </c>
      <c r="J142" s="3" t="s">
        <v>102</v>
      </c>
      <c r="K142" s="3" t="s">
        <v>36</v>
      </c>
      <c r="L142" s="4">
        <v>1</v>
      </c>
      <c r="M142" s="3">
        <v>580</v>
      </c>
      <c r="N142" s="3">
        <v>920</v>
      </c>
      <c r="O142" s="15">
        <f>Bike_Sales[[#This Row],[Order_Quantity]]*Bike_Sales[[#This Row],[Unit_Price]]</f>
        <v>920</v>
      </c>
      <c r="P142" s="15">
        <f>Bike_Sales[[#This Row],[Order_Quantity]]*Bike_Sales[[#This Row],[Unit_Cost]]</f>
        <v>580</v>
      </c>
      <c r="Q142" s="15">
        <f>Bike_Sales[[#This Row],[Total Sales]]-Bike_Sales[[#This Row],[Total Cost]]</f>
        <v>340</v>
      </c>
      <c r="R142" s="17">
        <f>Bike_Sales[[#This Row],[Profit]]/Bike_Sales[[#This Row],[Total Sales]]</f>
        <v>0.36956521739130432</v>
      </c>
      <c r="S142" s="16" t="str">
        <f t="shared" si="2"/>
        <v>25-34</v>
      </c>
    </row>
    <row r="143" spans="1:19" x14ac:dyDescent="0.35">
      <c r="A143" s="2">
        <v>44488</v>
      </c>
      <c r="B143" s="2" t="str">
        <f>TEXT(Bike_Sales[[#This Row],[Date]],"mmmm")</f>
        <v>October</v>
      </c>
      <c r="C143" s="19">
        <f>MONTH(Bike_Sales[[#This Row],[Date]])</f>
        <v>10</v>
      </c>
      <c r="D143" s="2" t="str">
        <f>TEXT(Bike_Sales[[#This Row],[Date]],"dddd")</f>
        <v>Tuesday</v>
      </c>
      <c r="E143" s="3">
        <v>26</v>
      </c>
      <c r="F143" s="3" t="s">
        <v>126</v>
      </c>
      <c r="G143" s="3" t="s">
        <v>18</v>
      </c>
      <c r="H143" s="3" t="s">
        <v>24</v>
      </c>
      <c r="I143" s="3" t="s">
        <v>16</v>
      </c>
      <c r="J143" s="3" t="s">
        <v>103</v>
      </c>
      <c r="K143" s="3" t="s">
        <v>78</v>
      </c>
      <c r="L143" s="4">
        <v>2</v>
      </c>
      <c r="M143" s="3">
        <v>450</v>
      </c>
      <c r="N143" s="3">
        <v>720</v>
      </c>
      <c r="O143" s="15">
        <f>Bike_Sales[[#This Row],[Order_Quantity]]*Bike_Sales[[#This Row],[Unit_Price]]</f>
        <v>1440</v>
      </c>
      <c r="P143" s="15">
        <f>Bike_Sales[[#This Row],[Order_Quantity]]*Bike_Sales[[#This Row],[Unit_Cost]]</f>
        <v>900</v>
      </c>
      <c r="Q143" s="15">
        <f>Bike_Sales[[#This Row],[Total Sales]]-Bike_Sales[[#This Row],[Total Cost]]</f>
        <v>540</v>
      </c>
      <c r="R143" s="17">
        <f>Bike_Sales[[#This Row],[Profit]]/Bike_Sales[[#This Row],[Total Sales]]</f>
        <v>0.375</v>
      </c>
      <c r="S143" s="16" t="str">
        <f t="shared" si="2"/>
        <v>25-34</v>
      </c>
    </row>
    <row r="144" spans="1:19" x14ac:dyDescent="0.35">
      <c r="A144" s="2">
        <v>44489</v>
      </c>
      <c r="B144" s="2" t="str">
        <f>TEXT(Bike_Sales[[#This Row],[Date]],"mmmm")</f>
        <v>October</v>
      </c>
      <c r="C144" s="19">
        <f>MONTH(Bike_Sales[[#This Row],[Date]])</f>
        <v>10</v>
      </c>
      <c r="D144" s="2" t="str">
        <f>TEXT(Bike_Sales[[#This Row],[Date]],"dddd")</f>
        <v>Wednesday</v>
      </c>
      <c r="E144" s="3">
        <v>26</v>
      </c>
      <c r="F144" s="3" t="s">
        <v>135</v>
      </c>
      <c r="G144" s="3" t="s">
        <v>18</v>
      </c>
      <c r="H144" s="3" t="s">
        <v>19</v>
      </c>
      <c r="I144" s="3" t="s">
        <v>16</v>
      </c>
      <c r="J144" s="3" t="s">
        <v>103</v>
      </c>
      <c r="K144" s="3" t="s">
        <v>22</v>
      </c>
      <c r="L144" s="4">
        <v>3</v>
      </c>
      <c r="M144" s="3">
        <v>550</v>
      </c>
      <c r="N144" s="3">
        <v>850</v>
      </c>
      <c r="O144" s="15">
        <f>Bike_Sales[[#This Row],[Order_Quantity]]*Bike_Sales[[#This Row],[Unit_Price]]</f>
        <v>2550</v>
      </c>
      <c r="P144" s="15">
        <f>Bike_Sales[[#This Row],[Order_Quantity]]*Bike_Sales[[#This Row],[Unit_Cost]]</f>
        <v>1650</v>
      </c>
      <c r="Q144" s="15">
        <f>Bike_Sales[[#This Row],[Total Sales]]-Bike_Sales[[#This Row],[Total Cost]]</f>
        <v>900</v>
      </c>
      <c r="R144" s="17">
        <f>Bike_Sales[[#This Row],[Profit]]/Bike_Sales[[#This Row],[Total Sales]]</f>
        <v>0.35294117647058826</v>
      </c>
      <c r="S144" s="16" t="str">
        <f t="shared" si="2"/>
        <v>25-34</v>
      </c>
    </row>
    <row r="145" spans="1:19" x14ac:dyDescent="0.35">
      <c r="A145" s="2">
        <v>44489</v>
      </c>
      <c r="B145" s="2" t="str">
        <f>TEXT(Bike_Sales[[#This Row],[Date]],"mmmm")</f>
        <v>October</v>
      </c>
      <c r="C145" s="19">
        <f>MONTH(Bike_Sales[[#This Row],[Date]])</f>
        <v>10</v>
      </c>
      <c r="D145" s="2" t="str">
        <f>TEXT(Bike_Sales[[#This Row],[Date]],"dddd")</f>
        <v>Wednesday</v>
      </c>
      <c r="E145" s="3">
        <v>26</v>
      </c>
      <c r="F145" s="3" t="s">
        <v>135</v>
      </c>
      <c r="G145" s="3" t="s">
        <v>39</v>
      </c>
      <c r="H145" s="3" t="s">
        <v>80</v>
      </c>
      <c r="I145" s="3" t="s">
        <v>11</v>
      </c>
      <c r="J145" s="3" t="s">
        <v>102</v>
      </c>
      <c r="K145" s="3" t="s">
        <v>36</v>
      </c>
      <c r="L145" s="4">
        <v>1</v>
      </c>
      <c r="M145" s="3">
        <v>580</v>
      </c>
      <c r="N145" s="3">
        <v>920</v>
      </c>
      <c r="O145" s="15">
        <f>Bike_Sales[[#This Row],[Order_Quantity]]*Bike_Sales[[#This Row],[Unit_Price]]</f>
        <v>920</v>
      </c>
      <c r="P145" s="15">
        <f>Bike_Sales[[#This Row],[Order_Quantity]]*Bike_Sales[[#This Row],[Unit_Cost]]</f>
        <v>580</v>
      </c>
      <c r="Q145" s="15">
        <f>Bike_Sales[[#This Row],[Total Sales]]-Bike_Sales[[#This Row],[Total Cost]]</f>
        <v>340</v>
      </c>
      <c r="R145" s="17">
        <f>Bike_Sales[[#This Row],[Profit]]/Bike_Sales[[#This Row],[Total Sales]]</f>
        <v>0.36956521739130432</v>
      </c>
      <c r="S145" s="16" t="str">
        <f t="shared" si="2"/>
        <v>25-34</v>
      </c>
    </row>
    <row r="146" spans="1:19" x14ac:dyDescent="0.35">
      <c r="A146" s="2">
        <v>44499</v>
      </c>
      <c r="B146" s="2" t="str">
        <f>TEXT(Bike_Sales[[#This Row],[Date]],"mmmm")</f>
        <v>October</v>
      </c>
      <c r="C146" s="19">
        <f>MONTH(Bike_Sales[[#This Row],[Date]])</f>
        <v>10</v>
      </c>
      <c r="D146" s="2" t="str">
        <f>TEXT(Bike_Sales[[#This Row],[Date]],"dddd")</f>
        <v>Saturday</v>
      </c>
      <c r="E146" s="3">
        <v>26</v>
      </c>
      <c r="F146" s="3" t="s">
        <v>135</v>
      </c>
      <c r="G146" s="3" t="s">
        <v>18</v>
      </c>
      <c r="H146" s="3" t="s">
        <v>19</v>
      </c>
      <c r="I146" s="3" t="s">
        <v>16</v>
      </c>
      <c r="J146" s="3" t="s">
        <v>103</v>
      </c>
      <c r="K146" s="3" t="s">
        <v>22</v>
      </c>
      <c r="L146" s="4">
        <v>3</v>
      </c>
      <c r="M146" s="3">
        <v>550</v>
      </c>
      <c r="N146" s="3">
        <v>850</v>
      </c>
      <c r="O146" s="15">
        <f>Bike_Sales[[#This Row],[Order_Quantity]]*Bike_Sales[[#This Row],[Unit_Price]]</f>
        <v>2550</v>
      </c>
      <c r="P146" s="15">
        <f>Bike_Sales[[#This Row],[Order_Quantity]]*Bike_Sales[[#This Row],[Unit_Cost]]</f>
        <v>1650</v>
      </c>
      <c r="Q146" s="15">
        <f>Bike_Sales[[#This Row],[Total Sales]]-Bike_Sales[[#This Row],[Total Cost]]</f>
        <v>900</v>
      </c>
      <c r="R146" s="17">
        <f>Bike_Sales[[#This Row],[Profit]]/Bike_Sales[[#This Row],[Total Sales]]</f>
        <v>0.35294117647058826</v>
      </c>
      <c r="S146" s="16" t="str">
        <f t="shared" si="2"/>
        <v>25-34</v>
      </c>
    </row>
    <row r="147" spans="1:19" x14ac:dyDescent="0.35">
      <c r="A147" s="2">
        <v>44517</v>
      </c>
      <c r="B147" s="2" t="str">
        <f>TEXT(Bike_Sales[[#This Row],[Date]],"mmmm")</f>
        <v>November</v>
      </c>
      <c r="C147" s="19">
        <f>MONTH(Bike_Sales[[#This Row],[Date]])</f>
        <v>11</v>
      </c>
      <c r="D147" s="2" t="str">
        <f>TEXT(Bike_Sales[[#This Row],[Date]],"dddd")</f>
        <v>Wednesday</v>
      </c>
      <c r="E147" s="3">
        <v>26</v>
      </c>
      <c r="F147" s="3" t="s">
        <v>135</v>
      </c>
      <c r="G147" s="3" t="s">
        <v>18</v>
      </c>
      <c r="H147" s="3" t="s">
        <v>19</v>
      </c>
      <c r="I147" s="3" t="s">
        <v>11</v>
      </c>
      <c r="J147" s="3" t="s">
        <v>101</v>
      </c>
      <c r="K147" s="3" t="s">
        <v>44</v>
      </c>
      <c r="L147" s="4">
        <v>2</v>
      </c>
      <c r="M147" s="3">
        <v>700</v>
      </c>
      <c r="N147" s="3">
        <v>1100</v>
      </c>
      <c r="O147" s="15">
        <f>Bike_Sales[[#This Row],[Order_Quantity]]*Bike_Sales[[#This Row],[Unit_Price]]</f>
        <v>2200</v>
      </c>
      <c r="P147" s="15">
        <f>Bike_Sales[[#This Row],[Order_Quantity]]*Bike_Sales[[#This Row],[Unit_Cost]]</f>
        <v>1400</v>
      </c>
      <c r="Q147" s="15">
        <f>Bike_Sales[[#This Row],[Total Sales]]-Bike_Sales[[#This Row],[Total Cost]]</f>
        <v>800</v>
      </c>
      <c r="R147" s="17">
        <f>Bike_Sales[[#This Row],[Profit]]/Bike_Sales[[#This Row],[Total Sales]]</f>
        <v>0.36363636363636365</v>
      </c>
      <c r="S147" s="16" t="str">
        <f t="shared" si="2"/>
        <v>25-34</v>
      </c>
    </row>
    <row r="148" spans="1:19" x14ac:dyDescent="0.35">
      <c r="A148" s="2">
        <v>44527</v>
      </c>
      <c r="B148" s="2" t="str">
        <f>TEXT(Bike_Sales[[#This Row],[Date]],"mmmm")</f>
        <v>November</v>
      </c>
      <c r="C148" s="19">
        <f>MONTH(Bike_Sales[[#This Row],[Date]])</f>
        <v>11</v>
      </c>
      <c r="D148" s="2" t="str">
        <f>TEXT(Bike_Sales[[#This Row],[Date]],"dddd")</f>
        <v>Saturday</v>
      </c>
      <c r="E148" s="3">
        <v>26</v>
      </c>
      <c r="F148" s="3" t="s">
        <v>126</v>
      </c>
      <c r="G148" s="3" t="s">
        <v>39</v>
      </c>
      <c r="H148" s="3" t="s">
        <v>76</v>
      </c>
      <c r="I148" s="3" t="s">
        <v>11</v>
      </c>
      <c r="J148" s="3" t="s">
        <v>104</v>
      </c>
      <c r="K148" s="3" t="s">
        <v>20</v>
      </c>
      <c r="L148" s="4">
        <v>3</v>
      </c>
      <c r="M148" s="3">
        <v>530</v>
      </c>
      <c r="N148" s="3">
        <v>840</v>
      </c>
      <c r="O148" s="15">
        <f>Bike_Sales[[#This Row],[Order_Quantity]]*Bike_Sales[[#This Row],[Unit_Price]]</f>
        <v>2520</v>
      </c>
      <c r="P148" s="15">
        <f>Bike_Sales[[#This Row],[Order_Quantity]]*Bike_Sales[[#This Row],[Unit_Cost]]</f>
        <v>1590</v>
      </c>
      <c r="Q148" s="15">
        <f>Bike_Sales[[#This Row],[Total Sales]]-Bike_Sales[[#This Row],[Total Cost]]</f>
        <v>930</v>
      </c>
      <c r="R148" s="17">
        <f>Bike_Sales[[#This Row],[Profit]]/Bike_Sales[[#This Row],[Total Sales]]</f>
        <v>0.36904761904761907</v>
      </c>
      <c r="S148" s="16" t="str">
        <f t="shared" si="2"/>
        <v>25-34</v>
      </c>
    </row>
    <row r="149" spans="1:19" x14ac:dyDescent="0.35">
      <c r="A149" s="2">
        <v>44536</v>
      </c>
      <c r="B149" s="2" t="str">
        <f>TEXT(Bike_Sales[[#This Row],[Date]],"mmmm")</f>
        <v>December</v>
      </c>
      <c r="C149" s="19">
        <f>MONTH(Bike_Sales[[#This Row],[Date]])</f>
        <v>12</v>
      </c>
      <c r="D149" s="2" t="str">
        <f>TEXT(Bike_Sales[[#This Row],[Date]],"dddd")</f>
        <v>Monday</v>
      </c>
      <c r="E149" s="3">
        <v>26</v>
      </c>
      <c r="F149" s="3" t="s">
        <v>135</v>
      </c>
      <c r="G149" s="3" t="s">
        <v>39</v>
      </c>
      <c r="H149" s="3" t="s">
        <v>42</v>
      </c>
      <c r="I149" s="3" t="s">
        <v>11</v>
      </c>
      <c r="J149" s="3" t="s">
        <v>104</v>
      </c>
      <c r="K149" s="3" t="s">
        <v>20</v>
      </c>
      <c r="L149" s="4">
        <v>1</v>
      </c>
      <c r="M149" s="3">
        <v>530</v>
      </c>
      <c r="N149" s="3">
        <v>840</v>
      </c>
      <c r="O149" s="15">
        <f>Bike_Sales[[#This Row],[Order_Quantity]]*Bike_Sales[[#This Row],[Unit_Price]]</f>
        <v>840</v>
      </c>
      <c r="P149" s="15">
        <f>Bike_Sales[[#This Row],[Order_Quantity]]*Bike_Sales[[#This Row],[Unit_Cost]]</f>
        <v>530</v>
      </c>
      <c r="Q149" s="15">
        <f>Bike_Sales[[#This Row],[Total Sales]]-Bike_Sales[[#This Row],[Total Cost]]</f>
        <v>310</v>
      </c>
      <c r="R149" s="17">
        <f>Bike_Sales[[#This Row],[Profit]]/Bike_Sales[[#This Row],[Total Sales]]</f>
        <v>0.36904761904761907</v>
      </c>
      <c r="S149" s="16" t="str">
        <f t="shared" si="2"/>
        <v>25-34</v>
      </c>
    </row>
    <row r="150" spans="1:19" x14ac:dyDescent="0.35">
      <c r="A150" s="2">
        <v>44537</v>
      </c>
      <c r="B150" s="2" t="str">
        <f>TEXT(Bike_Sales[[#This Row],[Date]],"mmmm")</f>
        <v>December</v>
      </c>
      <c r="C150" s="19">
        <f>MONTH(Bike_Sales[[#This Row],[Date]])</f>
        <v>12</v>
      </c>
      <c r="D150" s="2" t="str">
        <f>TEXT(Bike_Sales[[#This Row],[Date]],"dddd")</f>
        <v>Tuesday</v>
      </c>
      <c r="E150" s="3">
        <v>26</v>
      </c>
      <c r="F150" s="3" t="s">
        <v>126</v>
      </c>
      <c r="G150" s="3" t="s">
        <v>18</v>
      </c>
      <c r="H150" s="3" t="s">
        <v>19</v>
      </c>
      <c r="I150" s="3" t="s">
        <v>11</v>
      </c>
      <c r="J150" s="3" t="s">
        <v>104</v>
      </c>
      <c r="K150" s="3" t="s">
        <v>68</v>
      </c>
      <c r="L150" s="4">
        <v>4</v>
      </c>
      <c r="M150" s="3">
        <v>500</v>
      </c>
      <c r="N150" s="3">
        <v>800</v>
      </c>
      <c r="O150" s="15">
        <f>Bike_Sales[[#This Row],[Order_Quantity]]*Bike_Sales[[#This Row],[Unit_Price]]</f>
        <v>3200</v>
      </c>
      <c r="P150" s="15">
        <f>Bike_Sales[[#This Row],[Order_Quantity]]*Bike_Sales[[#This Row],[Unit_Cost]]</f>
        <v>2000</v>
      </c>
      <c r="Q150" s="15">
        <f>Bike_Sales[[#This Row],[Total Sales]]-Bike_Sales[[#This Row],[Total Cost]]</f>
        <v>1200</v>
      </c>
      <c r="R150" s="17">
        <f>Bike_Sales[[#This Row],[Profit]]/Bike_Sales[[#This Row],[Total Sales]]</f>
        <v>0.375</v>
      </c>
      <c r="S150" s="16" t="str">
        <f t="shared" si="2"/>
        <v>25-34</v>
      </c>
    </row>
    <row r="151" spans="1:19" x14ac:dyDescent="0.35">
      <c r="A151" s="2">
        <v>44539</v>
      </c>
      <c r="B151" s="2" t="str">
        <f>TEXT(Bike_Sales[[#This Row],[Date]],"mmmm")</f>
        <v>December</v>
      </c>
      <c r="C151" s="19">
        <f>MONTH(Bike_Sales[[#This Row],[Date]])</f>
        <v>12</v>
      </c>
      <c r="D151" s="2" t="str">
        <f>TEXT(Bike_Sales[[#This Row],[Date]],"dddd")</f>
        <v>Thursday</v>
      </c>
      <c r="E151" s="3">
        <v>26</v>
      </c>
      <c r="F151" s="3" t="s">
        <v>135</v>
      </c>
      <c r="G151" s="3" t="s">
        <v>18</v>
      </c>
      <c r="H151" s="3" t="s">
        <v>24</v>
      </c>
      <c r="I151" s="3" t="s">
        <v>11</v>
      </c>
      <c r="J151" s="3" t="s">
        <v>102</v>
      </c>
      <c r="K151" s="3" t="s">
        <v>36</v>
      </c>
      <c r="L151" s="4">
        <v>1</v>
      </c>
      <c r="M151" s="3">
        <v>580</v>
      </c>
      <c r="N151" s="3">
        <v>920</v>
      </c>
      <c r="O151" s="15">
        <f>Bike_Sales[[#This Row],[Order_Quantity]]*Bike_Sales[[#This Row],[Unit_Price]]</f>
        <v>920</v>
      </c>
      <c r="P151" s="15">
        <f>Bike_Sales[[#This Row],[Order_Quantity]]*Bike_Sales[[#This Row],[Unit_Cost]]</f>
        <v>580</v>
      </c>
      <c r="Q151" s="15">
        <f>Bike_Sales[[#This Row],[Total Sales]]-Bike_Sales[[#This Row],[Total Cost]]</f>
        <v>340</v>
      </c>
      <c r="R151" s="17">
        <f>Bike_Sales[[#This Row],[Profit]]/Bike_Sales[[#This Row],[Total Sales]]</f>
        <v>0.36956521739130432</v>
      </c>
      <c r="S151" s="16" t="str">
        <f t="shared" si="2"/>
        <v>25-34</v>
      </c>
    </row>
    <row r="152" spans="1:19" x14ac:dyDescent="0.35">
      <c r="A152" s="2">
        <v>44540</v>
      </c>
      <c r="B152" s="2" t="str">
        <f>TEXT(Bike_Sales[[#This Row],[Date]],"mmmm")</f>
        <v>December</v>
      </c>
      <c r="C152" s="19">
        <f>MONTH(Bike_Sales[[#This Row],[Date]])</f>
        <v>12</v>
      </c>
      <c r="D152" s="2" t="str">
        <f>TEXT(Bike_Sales[[#This Row],[Date]],"dddd")</f>
        <v>Friday</v>
      </c>
      <c r="E152" s="3">
        <v>26</v>
      </c>
      <c r="F152" s="3" t="s">
        <v>126</v>
      </c>
      <c r="G152" s="3" t="s">
        <v>129</v>
      </c>
      <c r="H152" s="3" t="s">
        <v>15</v>
      </c>
      <c r="I152" s="3" t="s">
        <v>16</v>
      </c>
      <c r="J152" s="3" t="s">
        <v>101</v>
      </c>
      <c r="K152" s="3" t="s">
        <v>17</v>
      </c>
      <c r="L152" s="4">
        <v>1</v>
      </c>
      <c r="M152" s="3">
        <v>550</v>
      </c>
      <c r="N152" s="3">
        <v>850</v>
      </c>
      <c r="O152" s="15">
        <f>Bike_Sales[[#This Row],[Order_Quantity]]*Bike_Sales[[#This Row],[Unit_Price]]</f>
        <v>850</v>
      </c>
      <c r="P152" s="15">
        <f>Bike_Sales[[#This Row],[Order_Quantity]]*Bike_Sales[[#This Row],[Unit_Cost]]</f>
        <v>550</v>
      </c>
      <c r="Q152" s="15">
        <f>Bike_Sales[[#This Row],[Total Sales]]-Bike_Sales[[#This Row],[Total Cost]]</f>
        <v>300</v>
      </c>
      <c r="R152" s="17">
        <f>Bike_Sales[[#This Row],[Profit]]/Bike_Sales[[#This Row],[Total Sales]]</f>
        <v>0.35294117647058826</v>
      </c>
      <c r="S152" s="16" t="str">
        <f t="shared" si="2"/>
        <v>25-34</v>
      </c>
    </row>
    <row r="153" spans="1:19" x14ac:dyDescent="0.35">
      <c r="A153" s="2">
        <v>44546</v>
      </c>
      <c r="B153" s="2" t="str">
        <f>TEXT(Bike_Sales[[#This Row],[Date]],"mmmm")</f>
        <v>December</v>
      </c>
      <c r="C153" s="19">
        <f>MONTH(Bike_Sales[[#This Row],[Date]])</f>
        <v>12</v>
      </c>
      <c r="D153" s="2" t="str">
        <f>TEXT(Bike_Sales[[#This Row],[Date]],"dddd")</f>
        <v>Thursday</v>
      </c>
      <c r="E153" s="3">
        <v>26</v>
      </c>
      <c r="F153" s="3" t="s">
        <v>135</v>
      </c>
      <c r="G153" s="3" t="s">
        <v>33</v>
      </c>
      <c r="H153" s="3" t="s">
        <v>73</v>
      </c>
      <c r="I153" s="3" t="s">
        <v>11</v>
      </c>
      <c r="J153" s="3" t="s">
        <v>102</v>
      </c>
      <c r="K153" s="3" t="s">
        <v>36</v>
      </c>
      <c r="L153" s="4">
        <v>3</v>
      </c>
      <c r="M153" s="3">
        <v>580</v>
      </c>
      <c r="N153" s="3">
        <v>920</v>
      </c>
      <c r="O153" s="15">
        <f>Bike_Sales[[#This Row],[Order_Quantity]]*Bike_Sales[[#This Row],[Unit_Price]]</f>
        <v>2760</v>
      </c>
      <c r="P153" s="15">
        <f>Bike_Sales[[#This Row],[Order_Quantity]]*Bike_Sales[[#This Row],[Unit_Cost]]</f>
        <v>1740</v>
      </c>
      <c r="Q153" s="15">
        <f>Bike_Sales[[#This Row],[Total Sales]]-Bike_Sales[[#This Row],[Total Cost]]</f>
        <v>1020</v>
      </c>
      <c r="R153" s="17">
        <f>Bike_Sales[[#This Row],[Profit]]/Bike_Sales[[#This Row],[Total Sales]]</f>
        <v>0.36956521739130432</v>
      </c>
      <c r="S153" s="16" t="str">
        <f t="shared" si="2"/>
        <v>25-34</v>
      </c>
    </row>
    <row r="154" spans="1:19" x14ac:dyDescent="0.35">
      <c r="A154" s="2">
        <v>44548</v>
      </c>
      <c r="B154" s="2" t="str">
        <f>TEXT(Bike_Sales[[#This Row],[Date]],"mmmm")</f>
        <v>December</v>
      </c>
      <c r="C154" s="19">
        <f>MONTH(Bike_Sales[[#This Row],[Date]])</f>
        <v>12</v>
      </c>
      <c r="D154" s="2" t="str">
        <f>TEXT(Bike_Sales[[#This Row],[Date]],"dddd")</f>
        <v>Saturday</v>
      </c>
      <c r="E154" s="3">
        <v>26</v>
      </c>
      <c r="F154" s="3" t="s">
        <v>135</v>
      </c>
      <c r="G154" s="3" t="s">
        <v>129</v>
      </c>
      <c r="H154" s="3" t="s">
        <v>15</v>
      </c>
      <c r="I154" s="3" t="s">
        <v>16</v>
      </c>
      <c r="J154" s="3" t="s">
        <v>103</v>
      </c>
      <c r="K154" s="3" t="s">
        <v>83</v>
      </c>
      <c r="L154" s="4">
        <v>3</v>
      </c>
      <c r="M154" s="3">
        <v>450</v>
      </c>
      <c r="N154" s="3">
        <v>720</v>
      </c>
      <c r="O154" s="15">
        <f>Bike_Sales[[#This Row],[Order_Quantity]]*Bike_Sales[[#This Row],[Unit_Price]]</f>
        <v>2160</v>
      </c>
      <c r="P154" s="15">
        <f>Bike_Sales[[#This Row],[Order_Quantity]]*Bike_Sales[[#This Row],[Unit_Cost]]</f>
        <v>1350</v>
      </c>
      <c r="Q154" s="15">
        <f>Bike_Sales[[#This Row],[Total Sales]]-Bike_Sales[[#This Row],[Total Cost]]</f>
        <v>810</v>
      </c>
      <c r="R154" s="17">
        <f>Bike_Sales[[#This Row],[Profit]]/Bike_Sales[[#This Row],[Total Sales]]</f>
        <v>0.375</v>
      </c>
      <c r="S154" s="16" t="str">
        <f t="shared" si="2"/>
        <v>25-34</v>
      </c>
    </row>
    <row r="155" spans="1:19" x14ac:dyDescent="0.35">
      <c r="A155" s="2">
        <v>44548</v>
      </c>
      <c r="B155" s="2" t="str">
        <f>TEXT(Bike_Sales[[#This Row],[Date]],"mmmm")</f>
        <v>December</v>
      </c>
      <c r="C155" s="19">
        <f>MONTH(Bike_Sales[[#This Row],[Date]])</f>
        <v>12</v>
      </c>
      <c r="D155" s="2" t="str">
        <f>TEXT(Bike_Sales[[#This Row],[Date]],"dddd")</f>
        <v>Saturday</v>
      </c>
      <c r="E155" s="3">
        <v>26</v>
      </c>
      <c r="F155" s="3" t="s">
        <v>135</v>
      </c>
      <c r="G155" s="3" t="s">
        <v>39</v>
      </c>
      <c r="H155" s="3" t="s">
        <v>40</v>
      </c>
      <c r="I155" s="3" t="s">
        <v>11</v>
      </c>
      <c r="J155" s="3" t="s">
        <v>102</v>
      </c>
      <c r="K155" s="3" t="s">
        <v>72</v>
      </c>
      <c r="L155" s="4">
        <v>3</v>
      </c>
      <c r="M155" s="3">
        <v>580</v>
      </c>
      <c r="N155" s="3">
        <v>920</v>
      </c>
      <c r="O155" s="15">
        <f>Bike_Sales[[#This Row],[Order_Quantity]]*Bike_Sales[[#This Row],[Unit_Price]]</f>
        <v>2760</v>
      </c>
      <c r="P155" s="15">
        <f>Bike_Sales[[#This Row],[Order_Quantity]]*Bike_Sales[[#This Row],[Unit_Cost]]</f>
        <v>1740</v>
      </c>
      <c r="Q155" s="15">
        <f>Bike_Sales[[#This Row],[Total Sales]]-Bike_Sales[[#This Row],[Total Cost]]</f>
        <v>1020</v>
      </c>
      <c r="R155" s="17">
        <f>Bike_Sales[[#This Row],[Profit]]/Bike_Sales[[#This Row],[Total Sales]]</f>
        <v>0.36956521739130432</v>
      </c>
      <c r="S155" s="16" t="str">
        <f t="shared" si="2"/>
        <v>25-34</v>
      </c>
    </row>
    <row r="156" spans="1:19" x14ac:dyDescent="0.35">
      <c r="A156" s="2">
        <v>44548</v>
      </c>
      <c r="B156" s="2" t="str">
        <f>TEXT(Bike_Sales[[#This Row],[Date]],"mmmm")</f>
        <v>December</v>
      </c>
      <c r="C156" s="19">
        <f>MONTH(Bike_Sales[[#This Row],[Date]])</f>
        <v>12</v>
      </c>
      <c r="D156" s="2" t="str">
        <f>TEXT(Bike_Sales[[#This Row],[Date]],"dddd")</f>
        <v>Saturday</v>
      </c>
      <c r="E156" s="3">
        <v>26</v>
      </c>
      <c r="F156" s="3" t="s">
        <v>126</v>
      </c>
      <c r="G156" s="3" t="s">
        <v>39</v>
      </c>
      <c r="H156" s="3" t="s">
        <v>80</v>
      </c>
      <c r="I156" s="3" t="s">
        <v>16</v>
      </c>
      <c r="J156" s="3" t="s">
        <v>101</v>
      </c>
      <c r="K156" s="3" t="s">
        <v>49</v>
      </c>
      <c r="L156" s="4">
        <v>1</v>
      </c>
      <c r="M156" s="3">
        <v>550</v>
      </c>
      <c r="N156" s="3">
        <v>850</v>
      </c>
      <c r="O156" s="15">
        <f>Bike_Sales[[#This Row],[Order_Quantity]]*Bike_Sales[[#This Row],[Unit_Price]]</f>
        <v>850</v>
      </c>
      <c r="P156" s="15">
        <f>Bike_Sales[[#This Row],[Order_Quantity]]*Bike_Sales[[#This Row],[Unit_Cost]]</f>
        <v>550</v>
      </c>
      <c r="Q156" s="15">
        <f>Bike_Sales[[#This Row],[Total Sales]]-Bike_Sales[[#This Row],[Total Cost]]</f>
        <v>300</v>
      </c>
      <c r="R156" s="17">
        <f>Bike_Sales[[#This Row],[Profit]]/Bike_Sales[[#This Row],[Total Sales]]</f>
        <v>0.35294117647058826</v>
      </c>
      <c r="S156" s="16" t="str">
        <f t="shared" si="2"/>
        <v>25-34</v>
      </c>
    </row>
    <row r="157" spans="1:19" x14ac:dyDescent="0.35">
      <c r="A157" s="2">
        <v>44551</v>
      </c>
      <c r="B157" s="2" t="str">
        <f>TEXT(Bike_Sales[[#This Row],[Date]],"mmmm")</f>
        <v>December</v>
      </c>
      <c r="C157" s="19">
        <f>MONTH(Bike_Sales[[#This Row],[Date]])</f>
        <v>12</v>
      </c>
      <c r="D157" s="2" t="str">
        <f>TEXT(Bike_Sales[[#This Row],[Date]],"dddd")</f>
        <v>Tuesday</v>
      </c>
      <c r="E157" s="3">
        <v>26</v>
      </c>
      <c r="F157" s="3" t="s">
        <v>126</v>
      </c>
      <c r="G157" s="3" t="s">
        <v>39</v>
      </c>
      <c r="H157" s="3" t="s">
        <v>132</v>
      </c>
      <c r="I157" s="3" t="s">
        <v>16</v>
      </c>
      <c r="J157" s="3" t="s">
        <v>103</v>
      </c>
      <c r="K157" s="3" t="s">
        <v>22</v>
      </c>
      <c r="L157" s="4">
        <v>3</v>
      </c>
      <c r="M157" s="3">
        <v>550</v>
      </c>
      <c r="N157" s="3">
        <v>850</v>
      </c>
      <c r="O157" s="15">
        <f>Bike_Sales[[#This Row],[Order_Quantity]]*Bike_Sales[[#This Row],[Unit_Price]]</f>
        <v>2550</v>
      </c>
      <c r="P157" s="15">
        <f>Bike_Sales[[#This Row],[Order_Quantity]]*Bike_Sales[[#This Row],[Unit_Cost]]</f>
        <v>1650</v>
      </c>
      <c r="Q157" s="15">
        <f>Bike_Sales[[#This Row],[Total Sales]]-Bike_Sales[[#This Row],[Total Cost]]</f>
        <v>900</v>
      </c>
      <c r="R157" s="17">
        <f>Bike_Sales[[#This Row],[Profit]]/Bike_Sales[[#This Row],[Total Sales]]</f>
        <v>0.35294117647058826</v>
      </c>
      <c r="S157" s="16" t="str">
        <f t="shared" si="2"/>
        <v>25-34</v>
      </c>
    </row>
    <row r="158" spans="1:19" x14ac:dyDescent="0.35">
      <c r="A158" s="2">
        <v>44557</v>
      </c>
      <c r="B158" s="2" t="str">
        <f>TEXT(Bike_Sales[[#This Row],[Date]],"mmmm")</f>
        <v>December</v>
      </c>
      <c r="C158" s="19">
        <f>MONTH(Bike_Sales[[#This Row],[Date]])</f>
        <v>12</v>
      </c>
      <c r="D158" s="2" t="str">
        <f>TEXT(Bike_Sales[[#This Row],[Date]],"dddd")</f>
        <v>Monday</v>
      </c>
      <c r="E158" s="3">
        <v>26</v>
      </c>
      <c r="F158" s="3" t="s">
        <v>135</v>
      </c>
      <c r="G158" s="3" t="s">
        <v>18</v>
      </c>
      <c r="H158" s="3" t="s">
        <v>35</v>
      </c>
      <c r="I158" s="3" t="s">
        <v>11</v>
      </c>
      <c r="J158" s="3" t="s">
        <v>102</v>
      </c>
      <c r="K158" s="3" t="s">
        <v>43</v>
      </c>
      <c r="L158" s="4">
        <v>4</v>
      </c>
      <c r="M158" s="3">
        <v>900</v>
      </c>
      <c r="N158" s="3">
        <v>1400</v>
      </c>
      <c r="O158" s="15">
        <f>Bike_Sales[[#This Row],[Order_Quantity]]*Bike_Sales[[#This Row],[Unit_Price]]</f>
        <v>5600</v>
      </c>
      <c r="P158" s="15">
        <f>Bike_Sales[[#This Row],[Order_Quantity]]*Bike_Sales[[#This Row],[Unit_Cost]]</f>
        <v>3600</v>
      </c>
      <c r="Q158" s="15">
        <f>Bike_Sales[[#This Row],[Total Sales]]-Bike_Sales[[#This Row],[Total Cost]]</f>
        <v>2000</v>
      </c>
      <c r="R158" s="17">
        <f>Bike_Sales[[#This Row],[Profit]]/Bike_Sales[[#This Row],[Total Sales]]</f>
        <v>0.35714285714285715</v>
      </c>
      <c r="S158" s="16" t="str">
        <f t="shared" si="2"/>
        <v>25-34</v>
      </c>
    </row>
    <row r="159" spans="1:19" x14ac:dyDescent="0.35">
      <c r="A159" s="2">
        <v>44557</v>
      </c>
      <c r="B159" s="2" t="str">
        <f>TEXT(Bike_Sales[[#This Row],[Date]],"mmmm")</f>
        <v>December</v>
      </c>
      <c r="C159" s="19">
        <f>MONTH(Bike_Sales[[#This Row],[Date]])</f>
        <v>12</v>
      </c>
      <c r="D159" s="2" t="str">
        <f>TEXT(Bike_Sales[[#This Row],[Date]],"dddd")</f>
        <v>Monday</v>
      </c>
      <c r="E159" s="3">
        <v>26</v>
      </c>
      <c r="F159" s="3" t="s">
        <v>126</v>
      </c>
      <c r="G159" s="3" t="s">
        <v>39</v>
      </c>
      <c r="H159" s="3" t="s">
        <v>79</v>
      </c>
      <c r="I159" s="3" t="s">
        <v>11</v>
      </c>
      <c r="J159" s="3" t="s">
        <v>101</v>
      </c>
      <c r="K159" s="3" t="s">
        <v>46</v>
      </c>
      <c r="L159" s="4">
        <v>1</v>
      </c>
      <c r="M159" s="3">
        <v>580</v>
      </c>
      <c r="N159" s="3">
        <v>920</v>
      </c>
      <c r="O159" s="15">
        <f>Bike_Sales[[#This Row],[Order_Quantity]]*Bike_Sales[[#This Row],[Unit_Price]]</f>
        <v>920</v>
      </c>
      <c r="P159" s="15">
        <f>Bike_Sales[[#This Row],[Order_Quantity]]*Bike_Sales[[#This Row],[Unit_Cost]]</f>
        <v>580</v>
      </c>
      <c r="Q159" s="15">
        <f>Bike_Sales[[#This Row],[Total Sales]]-Bike_Sales[[#This Row],[Total Cost]]</f>
        <v>340</v>
      </c>
      <c r="R159" s="17">
        <f>Bike_Sales[[#This Row],[Profit]]/Bike_Sales[[#This Row],[Total Sales]]</f>
        <v>0.36956521739130432</v>
      </c>
      <c r="S159" s="16" t="str">
        <f t="shared" si="2"/>
        <v>25-34</v>
      </c>
    </row>
    <row r="160" spans="1:19" x14ac:dyDescent="0.35">
      <c r="A160" s="2">
        <v>44559</v>
      </c>
      <c r="B160" s="2" t="str">
        <f>TEXT(Bike_Sales[[#This Row],[Date]],"mmmm")</f>
        <v>December</v>
      </c>
      <c r="C160" s="19">
        <f>MONTH(Bike_Sales[[#This Row],[Date]])</f>
        <v>12</v>
      </c>
      <c r="D160" s="2" t="str">
        <f>TEXT(Bike_Sales[[#This Row],[Date]],"dddd")</f>
        <v>Wednesday</v>
      </c>
      <c r="E160" s="3">
        <v>26</v>
      </c>
      <c r="F160" s="3" t="s">
        <v>135</v>
      </c>
      <c r="G160" s="3" t="s">
        <v>129</v>
      </c>
      <c r="H160" s="3" t="s">
        <v>15</v>
      </c>
      <c r="I160" s="3" t="s">
        <v>11</v>
      </c>
      <c r="J160" s="3" t="s">
        <v>104</v>
      </c>
      <c r="K160" s="3" t="s">
        <v>51</v>
      </c>
      <c r="L160" s="4">
        <v>3</v>
      </c>
      <c r="M160" s="3">
        <v>530</v>
      </c>
      <c r="N160" s="3">
        <v>840</v>
      </c>
      <c r="O160" s="15">
        <f>Bike_Sales[[#This Row],[Order_Quantity]]*Bike_Sales[[#This Row],[Unit_Price]]</f>
        <v>2520</v>
      </c>
      <c r="P160" s="15">
        <f>Bike_Sales[[#This Row],[Order_Quantity]]*Bike_Sales[[#This Row],[Unit_Cost]]</f>
        <v>1590</v>
      </c>
      <c r="Q160" s="15">
        <f>Bike_Sales[[#This Row],[Total Sales]]-Bike_Sales[[#This Row],[Total Cost]]</f>
        <v>930</v>
      </c>
      <c r="R160" s="17">
        <f>Bike_Sales[[#This Row],[Profit]]/Bike_Sales[[#This Row],[Total Sales]]</f>
        <v>0.36904761904761907</v>
      </c>
      <c r="S160" s="16" t="str">
        <f t="shared" si="2"/>
        <v>25-34</v>
      </c>
    </row>
    <row r="161" spans="1:19" x14ac:dyDescent="0.35">
      <c r="A161" s="2">
        <v>44559</v>
      </c>
      <c r="B161" s="2" t="str">
        <f>TEXT(Bike_Sales[[#This Row],[Date]],"mmmm")</f>
        <v>December</v>
      </c>
      <c r="C161" s="19">
        <f>MONTH(Bike_Sales[[#This Row],[Date]])</f>
        <v>12</v>
      </c>
      <c r="D161" s="2" t="str">
        <f>TEXT(Bike_Sales[[#This Row],[Date]],"dddd")</f>
        <v>Wednesday</v>
      </c>
      <c r="E161" s="3">
        <v>26</v>
      </c>
      <c r="F161" s="3" t="s">
        <v>135</v>
      </c>
      <c r="G161" s="3" t="s">
        <v>13</v>
      </c>
      <c r="H161" s="3" t="s">
        <v>127</v>
      </c>
      <c r="I161" s="3" t="s">
        <v>11</v>
      </c>
      <c r="J161" s="3" t="s">
        <v>102</v>
      </c>
      <c r="K161" s="3" t="s">
        <v>28</v>
      </c>
      <c r="L161" s="4">
        <v>1</v>
      </c>
      <c r="M161" s="3">
        <v>580</v>
      </c>
      <c r="N161" s="3">
        <v>920</v>
      </c>
      <c r="O161" s="15">
        <f>Bike_Sales[[#This Row],[Order_Quantity]]*Bike_Sales[[#This Row],[Unit_Price]]</f>
        <v>920</v>
      </c>
      <c r="P161" s="15">
        <f>Bike_Sales[[#This Row],[Order_Quantity]]*Bike_Sales[[#This Row],[Unit_Cost]]</f>
        <v>580</v>
      </c>
      <c r="Q161" s="15">
        <f>Bike_Sales[[#This Row],[Total Sales]]-Bike_Sales[[#This Row],[Total Cost]]</f>
        <v>340</v>
      </c>
      <c r="R161" s="17">
        <f>Bike_Sales[[#This Row],[Profit]]/Bike_Sales[[#This Row],[Total Sales]]</f>
        <v>0.36956521739130432</v>
      </c>
      <c r="S161" s="16" t="str">
        <f t="shared" si="2"/>
        <v>25-34</v>
      </c>
    </row>
    <row r="162" spans="1:19" x14ac:dyDescent="0.35">
      <c r="A162" s="2">
        <v>44561</v>
      </c>
      <c r="B162" s="2" t="str">
        <f>TEXT(Bike_Sales[[#This Row],[Date]],"mmmm")</f>
        <v>December</v>
      </c>
      <c r="C162" s="19">
        <f>MONTH(Bike_Sales[[#This Row],[Date]])</f>
        <v>12</v>
      </c>
      <c r="D162" s="2" t="str">
        <f>TEXT(Bike_Sales[[#This Row],[Date]],"dddd")</f>
        <v>Friday</v>
      </c>
      <c r="E162" s="3">
        <v>26</v>
      </c>
      <c r="F162" s="3" t="s">
        <v>126</v>
      </c>
      <c r="G162" s="3" t="s">
        <v>18</v>
      </c>
      <c r="H162" s="3" t="s">
        <v>19</v>
      </c>
      <c r="I162" s="3" t="s">
        <v>11</v>
      </c>
      <c r="J162" s="3" t="s">
        <v>104</v>
      </c>
      <c r="K162" s="3" t="s">
        <v>68</v>
      </c>
      <c r="L162" s="4">
        <v>1</v>
      </c>
      <c r="M162" s="3">
        <v>500</v>
      </c>
      <c r="N162" s="3">
        <v>800</v>
      </c>
      <c r="O162" s="15">
        <f>Bike_Sales[[#This Row],[Order_Quantity]]*Bike_Sales[[#This Row],[Unit_Price]]</f>
        <v>800</v>
      </c>
      <c r="P162" s="15">
        <f>Bike_Sales[[#This Row],[Order_Quantity]]*Bike_Sales[[#This Row],[Unit_Cost]]</f>
        <v>500</v>
      </c>
      <c r="Q162" s="15">
        <f>Bike_Sales[[#This Row],[Total Sales]]-Bike_Sales[[#This Row],[Total Cost]]</f>
        <v>300</v>
      </c>
      <c r="R162" s="17">
        <f>Bike_Sales[[#This Row],[Profit]]/Bike_Sales[[#This Row],[Total Sales]]</f>
        <v>0.375</v>
      </c>
      <c r="S162" s="16" t="str">
        <f t="shared" si="2"/>
        <v>25-34</v>
      </c>
    </row>
    <row r="163" spans="1:19" x14ac:dyDescent="0.35">
      <c r="A163" s="2">
        <v>44470</v>
      </c>
      <c r="B163" s="2" t="str">
        <f>TEXT(Bike_Sales[[#This Row],[Date]],"mmmm")</f>
        <v>October</v>
      </c>
      <c r="C163" s="19">
        <f>MONTH(Bike_Sales[[#This Row],[Date]])</f>
        <v>10</v>
      </c>
      <c r="D163" s="2" t="str">
        <f>TEXT(Bike_Sales[[#This Row],[Date]],"dddd")</f>
        <v>Friday</v>
      </c>
      <c r="E163" s="3">
        <v>27</v>
      </c>
      <c r="F163" s="3" t="s">
        <v>126</v>
      </c>
      <c r="G163" s="3" t="s">
        <v>13</v>
      </c>
      <c r="H163" s="3" t="s">
        <v>127</v>
      </c>
      <c r="I163" s="3" t="s">
        <v>11</v>
      </c>
      <c r="J163" s="3" t="s">
        <v>102</v>
      </c>
      <c r="K163" s="3" t="s">
        <v>14</v>
      </c>
      <c r="L163" s="4">
        <v>2</v>
      </c>
      <c r="M163" s="3">
        <v>620</v>
      </c>
      <c r="N163" s="3">
        <v>980</v>
      </c>
      <c r="O163" s="15">
        <f>Bike_Sales[[#This Row],[Order_Quantity]]*Bike_Sales[[#This Row],[Unit_Price]]</f>
        <v>1960</v>
      </c>
      <c r="P163" s="15">
        <f>Bike_Sales[[#This Row],[Order_Quantity]]*Bike_Sales[[#This Row],[Unit_Cost]]</f>
        <v>1240</v>
      </c>
      <c r="Q163" s="15">
        <f>Bike_Sales[[#This Row],[Total Sales]]-Bike_Sales[[#This Row],[Total Cost]]</f>
        <v>720</v>
      </c>
      <c r="R163" s="17">
        <f>Bike_Sales[[#This Row],[Profit]]/Bike_Sales[[#This Row],[Total Sales]]</f>
        <v>0.36734693877551022</v>
      </c>
      <c r="S163" s="16" t="str">
        <f t="shared" si="2"/>
        <v>25-34</v>
      </c>
    </row>
    <row r="164" spans="1:19" x14ac:dyDescent="0.35">
      <c r="A164" s="2">
        <v>44478</v>
      </c>
      <c r="B164" s="2" t="str">
        <f>TEXT(Bike_Sales[[#This Row],[Date]],"mmmm")</f>
        <v>October</v>
      </c>
      <c r="C164" s="19">
        <f>MONTH(Bike_Sales[[#This Row],[Date]])</f>
        <v>10</v>
      </c>
      <c r="D164" s="2" t="str">
        <f>TEXT(Bike_Sales[[#This Row],[Date]],"dddd")</f>
        <v>Saturday</v>
      </c>
      <c r="E164" s="3">
        <v>27</v>
      </c>
      <c r="F164" s="3" t="s">
        <v>126</v>
      </c>
      <c r="G164" s="3" t="s">
        <v>39</v>
      </c>
      <c r="H164" s="3" t="s">
        <v>57</v>
      </c>
      <c r="I164" s="3" t="s">
        <v>11</v>
      </c>
      <c r="J164" s="3" t="s">
        <v>101</v>
      </c>
      <c r="K164" s="3" t="s">
        <v>44</v>
      </c>
      <c r="L164" s="4">
        <v>3</v>
      </c>
      <c r="M164" s="3">
        <v>700</v>
      </c>
      <c r="N164" s="3">
        <v>1100</v>
      </c>
      <c r="O164" s="15">
        <f>Bike_Sales[[#This Row],[Order_Quantity]]*Bike_Sales[[#This Row],[Unit_Price]]</f>
        <v>3300</v>
      </c>
      <c r="P164" s="15">
        <f>Bike_Sales[[#This Row],[Order_Quantity]]*Bike_Sales[[#This Row],[Unit_Cost]]</f>
        <v>2100</v>
      </c>
      <c r="Q164" s="15">
        <f>Bike_Sales[[#This Row],[Total Sales]]-Bike_Sales[[#This Row],[Total Cost]]</f>
        <v>1200</v>
      </c>
      <c r="R164" s="17">
        <f>Bike_Sales[[#This Row],[Profit]]/Bike_Sales[[#This Row],[Total Sales]]</f>
        <v>0.36363636363636365</v>
      </c>
      <c r="S164" s="16" t="str">
        <f t="shared" si="2"/>
        <v>25-34</v>
      </c>
    </row>
    <row r="165" spans="1:19" x14ac:dyDescent="0.35">
      <c r="A165" s="2">
        <v>44481</v>
      </c>
      <c r="B165" s="2" t="str">
        <f>TEXT(Bike_Sales[[#This Row],[Date]],"mmmm")</f>
        <v>October</v>
      </c>
      <c r="C165" s="19">
        <f>MONTH(Bike_Sales[[#This Row],[Date]])</f>
        <v>10</v>
      </c>
      <c r="D165" s="2" t="str">
        <f>TEXT(Bike_Sales[[#This Row],[Date]],"dddd")</f>
        <v>Tuesday</v>
      </c>
      <c r="E165" s="3">
        <v>27</v>
      </c>
      <c r="F165" s="3" t="s">
        <v>126</v>
      </c>
      <c r="G165" s="3" t="s">
        <v>129</v>
      </c>
      <c r="H165" s="3" t="s">
        <v>15</v>
      </c>
      <c r="I165" s="3" t="s">
        <v>11</v>
      </c>
      <c r="J165" s="3" t="s">
        <v>101</v>
      </c>
      <c r="K165" s="3" t="s">
        <v>32</v>
      </c>
      <c r="L165" s="4">
        <v>2</v>
      </c>
      <c r="M165" s="3">
        <v>700</v>
      </c>
      <c r="N165" s="3">
        <v>1100</v>
      </c>
      <c r="O165" s="15">
        <f>Bike_Sales[[#This Row],[Order_Quantity]]*Bike_Sales[[#This Row],[Unit_Price]]</f>
        <v>2200</v>
      </c>
      <c r="P165" s="15">
        <f>Bike_Sales[[#This Row],[Order_Quantity]]*Bike_Sales[[#This Row],[Unit_Cost]]</f>
        <v>1400</v>
      </c>
      <c r="Q165" s="15">
        <f>Bike_Sales[[#This Row],[Total Sales]]-Bike_Sales[[#This Row],[Total Cost]]</f>
        <v>800</v>
      </c>
      <c r="R165" s="17">
        <f>Bike_Sales[[#This Row],[Profit]]/Bike_Sales[[#This Row],[Total Sales]]</f>
        <v>0.36363636363636365</v>
      </c>
      <c r="S165" s="16" t="str">
        <f t="shared" si="2"/>
        <v>25-34</v>
      </c>
    </row>
    <row r="166" spans="1:19" x14ac:dyDescent="0.35">
      <c r="A166" s="2">
        <v>44484</v>
      </c>
      <c r="B166" s="2" t="str">
        <f>TEXT(Bike_Sales[[#This Row],[Date]],"mmmm")</f>
        <v>October</v>
      </c>
      <c r="C166" s="19">
        <f>MONTH(Bike_Sales[[#This Row],[Date]])</f>
        <v>10</v>
      </c>
      <c r="D166" s="2" t="str">
        <f>TEXT(Bike_Sales[[#This Row],[Date]],"dddd")</f>
        <v>Friday</v>
      </c>
      <c r="E166" s="3">
        <v>27</v>
      </c>
      <c r="F166" s="3" t="s">
        <v>135</v>
      </c>
      <c r="G166" s="3" t="s">
        <v>129</v>
      </c>
      <c r="H166" s="3" t="s">
        <v>15</v>
      </c>
      <c r="I166" s="3" t="s">
        <v>16</v>
      </c>
      <c r="J166" s="3" t="s">
        <v>103</v>
      </c>
      <c r="K166" s="3" t="s">
        <v>22</v>
      </c>
      <c r="L166" s="4">
        <v>1</v>
      </c>
      <c r="M166" s="3">
        <v>550</v>
      </c>
      <c r="N166" s="3">
        <v>850</v>
      </c>
      <c r="O166" s="15">
        <f>Bike_Sales[[#This Row],[Order_Quantity]]*Bike_Sales[[#This Row],[Unit_Price]]</f>
        <v>850</v>
      </c>
      <c r="P166" s="15">
        <f>Bike_Sales[[#This Row],[Order_Quantity]]*Bike_Sales[[#This Row],[Unit_Cost]]</f>
        <v>550</v>
      </c>
      <c r="Q166" s="15">
        <f>Bike_Sales[[#This Row],[Total Sales]]-Bike_Sales[[#This Row],[Total Cost]]</f>
        <v>300</v>
      </c>
      <c r="R166" s="17">
        <f>Bike_Sales[[#This Row],[Profit]]/Bike_Sales[[#This Row],[Total Sales]]</f>
        <v>0.35294117647058826</v>
      </c>
      <c r="S166" s="16" t="str">
        <f t="shared" si="2"/>
        <v>25-34</v>
      </c>
    </row>
    <row r="167" spans="1:19" x14ac:dyDescent="0.35">
      <c r="A167" s="2">
        <v>44486</v>
      </c>
      <c r="B167" s="2" t="str">
        <f>TEXT(Bike_Sales[[#This Row],[Date]],"mmmm")</f>
        <v>October</v>
      </c>
      <c r="C167" s="19">
        <f>MONTH(Bike_Sales[[#This Row],[Date]])</f>
        <v>10</v>
      </c>
      <c r="D167" s="2" t="str">
        <f>TEXT(Bike_Sales[[#This Row],[Date]],"dddd")</f>
        <v>Sunday</v>
      </c>
      <c r="E167" s="3">
        <v>27</v>
      </c>
      <c r="F167" s="3" t="s">
        <v>126</v>
      </c>
      <c r="G167" s="3" t="s">
        <v>9</v>
      </c>
      <c r="H167" s="3" t="s">
        <v>10</v>
      </c>
      <c r="I167" s="3" t="s">
        <v>16</v>
      </c>
      <c r="J167" s="3" t="s">
        <v>103</v>
      </c>
      <c r="K167" s="3" t="s">
        <v>22</v>
      </c>
      <c r="L167" s="4">
        <v>1</v>
      </c>
      <c r="M167" s="3">
        <v>550</v>
      </c>
      <c r="N167" s="3">
        <v>850</v>
      </c>
      <c r="O167" s="15">
        <f>Bike_Sales[[#This Row],[Order_Quantity]]*Bike_Sales[[#This Row],[Unit_Price]]</f>
        <v>850</v>
      </c>
      <c r="P167" s="15">
        <f>Bike_Sales[[#This Row],[Order_Quantity]]*Bike_Sales[[#This Row],[Unit_Cost]]</f>
        <v>550</v>
      </c>
      <c r="Q167" s="15">
        <f>Bike_Sales[[#This Row],[Total Sales]]-Bike_Sales[[#This Row],[Total Cost]]</f>
        <v>300</v>
      </c>
      <c r="R167" s="17">
        <f>Bike_Sales[[#This Row],[Profit]]/Bike_Sales[[#This Row],[Total Sales]]</f>
        <v>0.35294117647058826</v>
      </c>
      <c r="S167" s="16" t="str">
        <f t="shared" si="2"/>
        <v>25-34</v>
      </c>
    </row>
    <row r="168" spans="1:19" x14ac:dyDescent="0.35">
      <c r="A168" s="2">
        <v>44487</v>
      </c>
      <c r="B168" s="2" t="str">
        <f>TEXT(Bike_Sales[[#This Row],[Date]],"mmmm")</f>
        <v>October</v>
      </c>
      <c r="C168" s="19">
        <f>MONTH(Bike_Sales[[#This Row],[Date]])</f>
        <v>10</v>
      </c>
      <c r="D168" s="2" t="str">
        <f>TEXT(Bike_Sales[[#This Row],[Date]],"dddd")</f>
        <v>Monday</v>
      </c>
      <c r="E168" s="3">
        <v>27</v>
      </c>
      <c r="F168" s="3" t="s">
        <v>126</v>
      </c>
      <c r="G168" s="3" t="s">
        <v>18</v>
      </c>
      <c r="H168" s="3" t="s">
        <v>24</v>
      </c>
      <c r="I168" s="3" t="s">
        <v>16</v>
      </c>
      <c r="J168" s="3" t="s">
        <v>101</v>
      </c>
      <c r="K168" s="3" t="s">
        <v>17</v>
      </c>
      <c r="L168" s="4">
        <v>1</v>
      </c>
      <c r="M168" s="3">
        <v>550</v>
      </c>
      <c r="N168" s="3">
        <v>850</v>
      </c>
      <c r="O168" s="15">
        <f>Bike_Sales[[#This Row],[Order_Quantity]]*Bike_Sales[[#This Row],[Unit_Price]]</f>
        <v>850</v>
      </c>
      <c r="P168" s="15">
        <f>Bike_Sales[[#This Row],[Order_Quantity]]*Bike_Sales[[#This Row],[Unit_Cost]]</f>
        <v>550</v>
      </c>
      <c r="Q168" s="15">
        <f>Bike_Sales[[#This Row],[Total Sales]]-Bike_Sales[[#This Row],[Total Cost]]</f>
        <v>300</v>
      </c>
      <c r="R168" s="17">
        <f>Bike_Sales[[#This Row],[Profit]]/Bike_Sales[[#This Row],[Total Sales]]</f>
        <v>0.35294117647058826</v>
      </c>
      <c r="S168" s="16" t="str">
        <f t="shared" si="2"/>
        <v>25-34</v>
      </c>
    </row>
    <row r="169" spans="1:19" x14ac:dyDescent="0.35">
      <c r="A169" s="2">
        <v>44489</v>
      </c>
      <c r="B169" s="2" t="str">
        <f>TEXT(Bike_Sales[[#This Row],[Date]],"mmmm")</f>
        <v>October</v>
      </c>
      <c r="C169" s="19">
        <f>MONTH(Bike_Sales[[#This Row],[Date]])</f>
        <v>10</v>
      </c>
      <c r="D169" s="2" t="str">
        <f>TEXT(Bike_Sales[[#This Row],[Date]],"dddd")</f>
        <v>Wednesday</v>
      </c>
      <c r="E169" s="3">
        <v>27</v>
      </c>
      <c r="F169" s="3" t="s">
        <v>126</v>
      </c>
      <c r="G169" s="3" t="s">
        <v>129</v>
      </c>
      <c r="H169" s="3" t="s">
        <v>15</v>
      </c>
      <c r="I169" s="3" t="s">
        <v>11</v>
      </c>
      <c r="J169" s="3" t="s">
        <v>101</v>
      </c>
      <c r="K169" s="3" t="s">
        <v>32</v>
      </c>
      <c r="L169" s="4">
        <v>1</v>
      </c>
      <c r="M169" s="3">
        <v>700</v>
      </c>
      <c r="N169" s="3">
        <v>1100</v>
      </c>
      <c r="O169" s="15">
        <f>Bike_Sales[[#This Row],[Order_Quantity]]*Bike_Sales[[#This Row],[Unit_Price]]</f>
        <v>1100</v>
      </c>
      <c r="P169" s="15">
        <f>Bike_Sales[[#This Row],[Order_Quantity]]*Bike_Sales[[#This Row],[Unit_Cost]]</f>
        <v>700</v>
      </c>
      <c r="Q169" s="15">
        <f>Bike_Sales[[#This Row],[Total Sales]]-Bike_Sales[[#This Row],[Total Cost]]</f>
        <v>400</v>
      </c>
      <c r="R169" s="17">
        <f>Bike_Sales[[#This Row],[Profit]]/Bike_Sales[[#This Row],[Total Sales]]</f>
        <v>0.36363636363636365</v>
      </c>
      <c r="S169" s="16" t="str">
        <f t="shared" si="2"/>
        <v>25-34</v>
      </c>
    </row>
    <row r="170" spans="1:19" x14ac:dyDescent="0.35">
      <c r="A170" s="2">
        <v>44492</v>
      </c>
      <c r="B170" s="2" t="str">
        <f>TEXT(Bike_Sales[[#This Row],[Date]],"mmmm")</f>
        <v>October</v>
      </c>
      <c r="C170" s="19">
        <f>MONTH(Bike_Sales[[#This Row],[Date]])</f>
        <v>10</v>
      </c>
      <c r="D170" s="2" t="str">
        <f>TEXT(Bike_Sales[[#This Row],[Date]],"dddd")</f>
        <v>Saturday</v>
      </c>
      <c r="E170" s="3">
        <v>27</v>
      </c>
      <c r="F170" s="3" t="s">
        <v>135</v>
      </c>
      <c r="G170" s="3" t="s">
        <v>18</v>
      </c>
      <c r="H170" s="3" t="s">
        <v>21</v>
      </c>
      <c r="I170" s="3" t="s">
        <v>16</v>
      </c>
      <c r="J170" s="3" t="s">
        <v>101</v>
      </c>
      <c r="K170" s="3" t="s">
        <v>49</v>
      </c>
      <c r="L170" s="4">
        <v>1</v>
      </c>
      <c r="M170" s="3">
        <v>550</v>
      </c>
      <c r="N170" s="3">
        <v>850</v>
      </c>
      <c r="O170" s="15">
        <f>Bike_Sales[[#This Row],[Order_Quantity]]*Bike_Sales[[#This Row],[Unit_Price]]</f>
        <v>850</v>
      </c>
      <c r="P170" s="15">
        <f>Bike_Sales[[#This Row],[Order_Quantity]]*Bike_Sales[[#This Row],[Unit_Cost]]</f>
        <v>550</v>
      </c>
      <c r="Q170" s="15">
        <f>Bike_Sales[[#This Row],[Total Sales]]-Bike_Sales[[#This Row],[Total Cost]]</f>
        <v>300</v>
      </c>
      <c r="R170" s="17">
        <f>Bike_Sales[[#This Row],[Profit]]/Bike_Sales[[#This Row],[Total Sales]]</f>
        <v>0.35294117647058826</v>
      </c>
      <c r="S170" s="16" t="str">
        <f t="shared" si="2"/>
        <v>25-34</v>
      </c>
    </row>
    <row r="171" spans="1:19" x14ac:dyDescent="0.35">
      <c r="A171" s="2">
        <v>44493</v>
      </c>
      <c r="B171" s="2" t="str">
        <f>TEXT(Bike_Sales[[#This Row],[Date]],"mmmm")</f>
        <v>October</v>
      </c>
      <c r="C171" s="19">
        <f>MONTH(Bike_Sales[[#This Row],[Date]])</f>
        <v>10</v>
      </c>
      <c r="D171" s="2" t="str">
        <f>TEXT(Bike_Sales[[#This Row],[Date]],"dddd")</f>
        <v>Sunday</v>
      </c>
      <c r="E171" s="3">
        <v>27</v>
      </c>
      <c r="F171" s="3" t="s">
        <v>135</v>
      </c>
      <c r="G171" s="3" t="s">
        <v>39</v>
      </c>
      <c r="H171" s="3" t="s">
        <v>82</v>
      </c>
      <c r="I171" s="3" t="s">
        <v>11</v>
      </c>
      <c r="J171" s="3" t="s">
        <v>101</v>
      </c>
      <c r="K171" s="3" t="s">
        <v>32</v>
      </c>
      <c r="L171" s="4">
        <v>3</v>
      </c>
      <c r="M171" s="3">
        <v>700</v>
      </c>
      <c r="N171" s="3">
        <v>1100</v>
      </c>
      <c r="O171" s="15">
        <f>Bike_Sales[[#This Row],[Order_Quantity]]*Bike_Sales[[#This Row],[Unit_Price]]</f>
        <v>3300</v>
      </c>
      <c r="P171" s="15">
        <f>Bike_Sales[[#This Row],[Order_Quantity]]*Bike_Sales[[#This Row],[Unit_Cost]]</f>
        <v>2100</v>
      </c>
      <c r="Q171" s="15">
        <f>Bike_Sales[[#This Row],[Total Sales]]-Bike_Sales[[#This Row],[Total Cost]]</f>
        <v>1200</v>
      </c>
      <c r="R171" s="17">
        <f>Bike_Sales[[#This Row],[Profit]]/Bike_Sales[[#This Row],[Total Sales]]</f>
        <v>0.36363636363636365</v>
      </c>
      <c r="S171" s="16" t="str">
        <f t="shared" si="2"/>
        <v>25-34</v>
      </c>
    </row>
    <row r="172" spans="1:19" x14ac:dyDescent="0.35">
      <c r="A172" s="2">
        <v>44493</v>
      </c>
      <c r="B172" s="2" t="str">
        <f>TEXT(Bike_Sales[[#This Row],[Date]],"mmmm")</f>
        <v>October</v>
      </c>
      <c r="C172" s="19">
        <f>MONTH(Bike_Sales[[#This Row],[Date]])</f>
        <v>10</v>
      </c>
      <c r="D172" s="2" t="str">
        <f>TEXT(Bike_Sales[[#This Row],[Date]],"dddd")</f>
        <v>Sunday</v>
      </c>
      <c r="E172" s="3">
        <v>27</v>
      </c>
      <c r="F172" s="3" t="s">
        <v>135</v>
      </c>
      <c r="G172" s="3" t="s">
        <v>129</v>
      </c>
      <c r="H172" s="3" t="s">
        <v>15</v>
      </c>
      <c r="I172" s="3" t="s">
        <v>11</v>
      </c>
      <c r="J172" s="3" t="s">
        <v>104</v>
      </c>
      <c r="K172" s="3" t="s">
        <v>52</v>
      </c>
      <c r="L172" s="4">
        <v>2</v>
      </c>
      <c r="M172" s="3">
        <v>530</v>
      </c>
      <c r="N172" s="3">
        <v>840</v>
      </c>
      <c r="O172" s="15">
        <f>Bike_Sales[[#This Row],[Order_Quantity]]*Bike_Sales[[#This Row],[Unit_Price]]</f>
        <v>1680</v>
      </c>
      <c r="P172" s="15">
        <f>Bike_Sales[[#This Row],[Order_Quantity]]*Bike_Sales[[#This Row],[Unit_Cost]]</f>
        <v>1060</v>
      </c>
      <c r="Q172" s="15">
        <f>Bike_Sales[[#This Row],[Total Sales]]-Bike_Sales[[#This Row],[Total Cost]]</f>
        <v>620</v>
      </c>
      <c r="R172" s="17">
        <f>Bike_Sales[[#This Row],[Profit]]/Bike_Sales[[#This Row],[Total Sales]]</f>
        <v>0.36904761904761907</v>
      </c>
      <c r="S172" s="16" t="str">
        <f t="shared" si="2"/>
        <v>25-34</v>
      </c>
    </row>
    <row r="173" spans="1:19" x14ac:dyDescent="0.35">
      <c r="A173" s="2">
        <v>44493</v>
      </c>
      <c r="B173" s="2" t="str">
        <f>TEXT(Bike_Sales[[#This Row],[Date]],"mmmm")</f>
        <v>October</v>
      </c>
      <c r="C173" s="19">
        <f>MONTH(Bike_Sales[[#This Row],[Date]])</f>
        <v>10</v>
      </c>
      <c r="D173" s="2" t="str">
        <f>TEXT(Bike_Sales[[#This Row],[Date]],"dddd")</f>
        <v>Sunday</v>
      </c>
      <c r="E173" s="3">
        <v>27</v>
      </c>
      <c r="F173" s="3" t="s">
        <v>126</v>
      </c>
      <c r="G173" s="3" t="s">
        <v>13</v>
      </c>
      <c r="H173" s="3" t="s">
        <v>127</v>
      </c>
      <c r="I173" s="3" t="s">
        <v>11</v>
      </c>
      <c r="J173" s="3" t="s">
        <v>102</v>
      </c>
      <c r="K173" s="3" t="s">
        <v>14</v>
      </c>
      <c r="L173" s="4">
        <v>1</v>
      </c>
      <c r="M173" s="3">
        <v>620</v>
      </c>
      <c r="N173" s="3">
        <v>980</v>
      </c>
      <c r="O173" s="15">
        <f>Bike_Sales[[#This Row],[Order_Quantity]]*Bike_Sales[[#This Row],[Unit_Price]]</f>
        <v>980</v>
      </c>
      <c r="P173" s="15">
        <f>Bike_Sales[[#This Row],[Order_Quantity]]*Bike_Sales[[#This Row],[Unit_Cost]]</f>
        <v>620</v>
      </c>
      <c r="Q173" s="15">
        <f>Bike_Sales[[#This Row],[Total Sales]]-Bike_Sales[[#This Row],[Total Cost]]</f>
        <v>360</v>
      </c>
      <c r="R173" s="17">
        <f>Bike_Sales[[#This Row],[Profit]]/Bike_Sales[[#This Row],[Total Sales]]</f>
        <v>0.36734693877551022</v>
      </c>
      <c r="S173" s="16" t="str">
        <f t="shared" si="2"/>
        <v>25-34</v>
      </c>
    </row>
    <row r="174" spans="1:19" x14ac:dyDescent="0.35">
      <c r="A174" s="2">
        <v>44495</v>
      </c>
      <c r="B174" s="2" t="str">
        <f>TEXT(Bike_Sales[[#This Row],[Date]],"mmmm")</f>
        <v>October</v>
      </c>
      <c r="C174" s="19">
        <f>MONTH(Bike_Sales[[#This Row],[Date]])</f>
        <v>10</v>
      </c>
      <c r="D174" s="2" t="str">
        <f>TEXT(Bike_Sales[[#This Row],[Date]],"dddd")</f>
        <v>Tuesday</v>
      </c>
      <c r="E174" s="3">
        <v>27</v>
      </c>
      <c r="F174" s="3" t="s">
        <v>126</v>
      </c>
      <c r="G174" s="3" t="s">
        <v>129</v>
      </c>
      <c r="H174" s="3" t="s">
        <v>15</v>
      </c>
      <c r="I174" s="3" t="s">
        <v>16</v>
      </c>
      <c r="J174" s="3" t="s">
        <v>103</v>
      </c>
      <c r="K174" s="3" t="s">
        <v>78</v>
      </c>
      <c r="L174" s="4">
        <v>2</v>
      </c>
      <c r="M174" s="3">
        <v>450</v>
      </c>
      <c r="N174" s="3">
        <v>720</v>
      </c>
      <c r="O174" s="15">
        <f>Bike_Sales[[#This Row],[Order_Quantity]]*Bike_Sales[[#This Row],[Unit_Price]]</f>
        <v>1440</v>
      </c>
      <c r="P174" s="15">
        <f>Bike_Sales[[#This Row],[Order_Quantity]]*Bike_Sales[[#This Row],[Unit_Cost]]</f>
        <v>900</v>
      </c>
      <c r="Q174" s="15">
        <f>Bike_Sales[[#This Row],[Total Sales]]-Bike_Sales[[#This Row],[Total Cost]]</f>
        <v>540</v>
      </c>
      <c r="R174" s="17">
        <f>Bike_Sales[[#This Row],[Profit]]/Bike_Sales[[#This Row],[Total Sales]]</f>
        <v>0.375</v>
      </c>
      <c r="S174" s="16" t="str">
        <f t="shared" si="2"/>
        <v>25-34</v>
      </c>
    </row>
    <row r="175" spans="1:19" x14ac:dyDescent="0.35">
      <c r="A175" s="2">
        <v>44497</v>
      </c>
      <c r="B175" s="2" t="str">
        <f>TEXT(Bike_Sales[[#This Row],[Date]],"mmmm")</f>
        <v>October</v>
      </c>
      <c r="C175" s="19">
        <f>MONTH(Bike_Sales[[#This Row],[Date]])</f>
        <v>10</v>
      </c>
      <c r="D175" s="2" t="str">
        <f>TEXT(Bike_Sales[[#This Row],[Date]],"dddd")</f>
        <v>Thursday</v>
      </c>
      <c r="E175" s="3">
        <v>27</v>
      </c>
      <c r="F175" s="3" t="s">
        <v>126</v>
      </c>
      <c r="G175" s="3" t="s">
        <v>129</v>
      </c>
      <c r="H175" s="3" t="s">
        <v>15</v>
      </c>
      <c r="I175" s="3" t="s">
        <v>11</v>
      </c>
      <c r="J175" s="3" t="s">
        <v>101</v>
      </c>
      <c r="K175" s="3" t="s">
        <v>32</v>
      </c>
      <c r="L175" s="4">
        <v>4</v>
      </c>
      <c r="M175" s="3">
        <v>700</v>
      </c>
      <c r="N175" s="3">
        <v>1100</v>
      </c>
      <c r="O175" s="15">
        <f>Bike_Sales[[#This Row],[Order_Quantity]]*Bike_Sales[[#This Row],[Unit_Price]]</f>
        <v>4400</v>
      </c>
      <c r="P175" s="15">
        <f>Bike_Sales[[#This Row],[Order_Quantity]]*Bike_Sales[[#This Row],[Unit_Cost]]</f>
        <v>2800</v>
      </c>
      <c r="Q175" s="15">
        <f>Bike_Sales[[#This Row],[Total Sales]]-Bike_Sales[[#This Row],[Total Cost]]</f>
        <v>1600</v>
      </c>
      <c r="R175" s="17">
        <f>Bike_Sales[[#This Row],[Profit]]/Bike_Sales[[#This Row],[Total Sales]]</f>
        <v>0.36363636363636365</v>
      </c>
      <c r="S175" s="16" t="str">
        <f t="shared" si="2"/>
        <v>25-34</v>
      </c>
    </row>
    <row r="176" spans="1:19" x14ac:dyDescent="0.35">
      <c r="A176" s="2">
        <v>44498</v>
      </c>
      <c r="B176" s="2" t="str">
        <f>TEXT(Bike_Sales[[#This Row],[Date]],"mmmm")</f>
        <v>October</v>
      </c>
      <c r="C176" s="19">
        <f>MONTH(Bike_Sales[[#This Row],[Date]])</f>
        <v>10</v>
      </c>
      <c r="D176" s="2" t="str">
        <f>TEXT(Bike_Sales[[#This Row],[Date]],"dddd")</f>
        <v>Friday</v>
      </c>
      <c r="E176" s="3">
        <v>27</v>
      </c>
      <c r="F176" s="3" t="s">
        <v>135</v>
      </c>
      <c r="G176" s="3" t="s">
        <v>18</v>
      </c>
      <c r="H176" s="3" t="s">
        <v>19</v>
      </c>
      <c r="I176" s="3" t="s">
        <v>16</v>
      </c>
      <c r="J176" s="3" t="s">
        <v>103</v>
      </c>
      <c r="K176" s="3" t="s">
        <v>22</v>
      </c>
      <c r="L176" s="4">
        <v>1</v>
      </c>
      <c r="M176" s="3">
        <v>550</v>
      </c>
      <c r="N176" s="3">
        <v>850</v>
      </c>
      <c r="O176" s="15">
        <f>Bike_Sales[[#This Row],[Order_Quantity]]*Bike_Sales[[#This Row],[Unit_Price]]</f>
        <v>850</v>
      </c>
      <c r="P176" s="15">
        <f>Bike_Sales[[#This Row],[Order_Quantity]]*Bike_Sales[[#This Row],[Unit_Cost]]</f>
        <v>550</v>
      </c>
      <c r="Q176" s="15">
        <f>Bike_Sales[[#This Row],[Total Sales]]-Bike_Sales[[#This Row],[Total Cost]]</f>
        <v>300</v>
      </c>
      <c r="R176" s="17">
        <f>Bike_Sales[[#This Row],[Profit]]/Bike_Sales[[#This Row],[Total Sales]]</f>
        <v>0.35294117647058826</v>
      </c>
      <c r="S176" s="16" t="str">
        <f t="shared" si="2"/>
        <v>25-34</v>
      </c>
    </row>
    <row r="177" spans="1:19" x14ac:dyDescent="0.35">
      <c r="A177" s="2">
        <v>44499</v>
      </c>
      <c r="B177" s="2" t="str">
        <f>TEXT(Bike_Sales[[#This Row],[Date]],"mmmm")</f>
        <v>October</v>
      </c>
      <c r="C177" s="19">
        <f>MONTH(Bike_Sales[[#This Row],[Date]])</f>
        <v>10</v>
      </c>
      <c r="D177" s="2" t="str">
        <f>TEXT(Bike_Sales[[#This Row],[Date]],"dddd")</f>
        <v>Saturday</v>
      </c>
      <c r="E177" s="3">
        <v>27</v>
      </c>
      <c r="F177" s="3" t="s">
        <v>126</v>
      </c>
      <c r="G177" s="3" t="s">
        <v>39</v>
      </c>
      <c r="H177" s="3" t="s">
        <v>79</v>
      </c>
      <c r="I177" s="3" t="s">
        <v>16</v>
      </c>
      <c r="J177" s="3" t="s">
        <v>101</v>
      </c>
      <c r="K177" s="3" t="s">
        <v>25</v>
      </c>
      <c r="L177" s="4">
        <v>2</v>
      </c>
      <c r="M177" s="3">
        <v>550</v>
      </c>
      <c r="N177" s="3">
        <v>850</v>
      </c>
      <c r="O177" s="15">
        <f>Bike_Sales[[#This Row],[Order_Quantity]]*Bike_Sales[[#This Row],[Unit_Price]]</f>
        <v>1700</v>
      </c>
      <c r="P177" s="15">
        <f>Bike_Sales[[#This Row],[Order_Quantity]]*Bike_Sales[[#This Row],[Unit_Cost]]</f>
        <v>1100</v>
      </c>
      <c r="Q177" s="15">
        <f>Bike_Sales[[#This Row],[Total Sales]]-Bike_Sales[[#This Row],[Total Cost]]</f>
        <v>600</v>
      </c>
      <c r="R177" s="17">
        <f>Bike_Sales[[#This Row],[Profit]]/Bike_Sales[[#This Row],[Total Sales]]</f>
        <v>0.35294117647058826</v>
      </c>
      <c r="S177" s="16" t="str">
        <f t="shared" si="2"/>
        <v>25-34</v>
      </c>
    </row>
    <row r="178" spans="1:19" x14ac:dyDescent="0.35">
      <c r="A178" s="2">
        <v>44518</v>
      </c>
      <c r="B178" s="2" t="str">
        <f>TEXT(Bike_Sales[[#This Row],[Date]],"mmmm")</f>
        <v>November</v>
      </c>
      <c r="C178" s="19">
        <f>MONTH(Bike_Sales[[#This Row],[Date]])</f>
        <v>11</v>
      </c>
      <c r="D178" s="2" t="str">
        <f>TEXT(Bike_Sales[[#This Row],[Date]],"dddd")</f>
        <v>Thursday</v>
      </c>
      <c r="E178" s="3">
        <v>27</v>
      </c>
      <c r="F178" s="3" t="s">
        <v>126</v>
      </c>
      <c r="G178" s="3" t="s">
        <v>39</v>
      </c>
      <c r="H178" s="3" t="s">
        <v>80</v>
      </c>
      <c r="I178" s="3" t="s">
        <v>11</v>
      </c>
      <c r="J178" s="3" t="s">
        <v>104</v>
      </c>
      <c r="K178" s="3" t="s">
        <v>53</v>
      </c>
      <c r="L178" s="4">
        <v>1</v>
      </c>
      <c r="M178" s="3">
        <v>500</v>
      </c>
      <c r="N178" s="3">
        <v>800</v>
      </c>
      <c r="O178" s="15">
        <f>Bike_Sales[[#This Row],[Order_Quantity]]*Bike_Sales[[#This Row],[Unit_Price]]</f>
        <v>800</v>
      </c>
      <c r="P178" s="15">
        <f>Bike_Sales[[#This Row],[Order_Quantity]]*Bike_Sales[[#This Row],[Unit_Cost]]</f>
        <v>500</v>
      </c>
      <c r="Q178" s="15">
        <f>Bike_Sales[[#This Row],[Total Sales]]-Bike_Sales[[#This Row],[Total Cost]]</f>
        <v>300</v>
      </c>
      <c r="R178" s="17">
        <f>Bike_Sales[[#This Row],[Profit]]/Bike_Sales[[#This Row],[Total Sales]]</f>
        <v>0.375</v>
      </c>
      <c r="S178" s="16" t="str">
        <f t="shared" si="2"/>
        <v>25-34</v>
      </c>
    </row>
    <row r="179" spans="1:19" x14ac:dyDescent="0.35">
      <c r="A179" s="2">
        <v>44520</v>
      </c>
      <c r="B179" s="2" t="str">
        <f>TEXT(Bike_Sales[[#This Row],[Date]],"mmmm")</f>
        <v>November</v>
      </c>
      <c r="C179" s="19">
        <f>MONTH(Bike_Sales[[#This Row],[Date]])</f>
        <v>11</v>
      </c>
      <c r="D179" s="2" t="str">
        <f>TEXT(Bike_Sales[[#This Row],[Date]],"dddd")</f>
        <v>Saturday</v>
      </c>
      <c r="E179" s="3">
        <v>27</v>
      </c>
      <c r="F179" s="3" t="s">
        <v>126</v>
      </c>
      <c r="G179" s="3" t="s">
        <v>18</v>
      </c>
      <c r="H179" s="3" t="s">
        <v>19</v>
      </c>
      <c r="I179" s="3" t="s">
        <v>11</v>
      </c>
      <c r="J179" s="3" t="s">
        <v>101</v>
      </c>
      <c r="K179" s="3" t="s">
        <v>31</v>
      </c>
      <c r="L179" s="4">
        <v>1</v>
      </c>
      <c r="M179" s="3">
        <v>580</v>
      </c>
      <c r="N179" s="3">
        <v>920</v>
      </c>
      <c r="O179" s="15">
        <f>Bike_Sales[[#This Row],[Order_Quantity]]*Bike_Sales[[#This Row],[Unit_Price]]</f>
        <v>920</v>
      </c>
      <c r="P179" s="15">
        <f>Bike_Sales[[#This Row],[Order_Quantity]]*Bike_Sales[[#This Row],[Unit_Cost]]</f>
        <v>580</v>
      </c>
      <c r="Q179" s="15">
        <f>Bike_Sales[[#This Row],[Total Sales]]-Bike_Sales[[#This Row],[Total Cost]]</f>
        <v>340</v>
      </c>
      <c r="R179" s="17">
        <f>Bike_Sales[[#This Row],[Profit]]/Bike_Sales[[#This Row],[Total Sales]]</f>
        <v>0.36956521739130432</v>
      </c>
      <c r="S179" s="16" t="str">
        <f t="shared" si="2"/>
        <v>25-34</v>
      </c>
    </row>
    <row r="180" spans="1:19" x14ac:dyDescent="0.35">
      <c r="A180" s="2">
        <v>44523</v>
      </c>
      <c r="B180" s="2" t="str">
        <f>TEXT(Bike_Sales[[#This Row],[Date]],"mmmm")</f>
        <v>November</v>
      </c>
      <c r="C180" s="19">
        <f>MONTH(Bike_Sales[[#This Row],[Date]])</f>
        <v>11</v>
      </c>
      <c r="D180" s="2" t="str">
        <f>TEXT(Bike_Sales[[#This Row],[Date]],"dddd")</f>
        <v>Tuesday</v>
      </c>
      <c r="E180" s="3">
        <v>27</v>
      </c>
      <c r="F180" s="3" t="s">
        <v>135</v>
      </c>
      <c r="G180" s="3" t="s">
        <v>18</v>
      </c>
      <c r="H180" s="3" t="s">
        <v>24</v>
      </c>
      <c r="I180" s="3" t="s">
        <v>11</v>
      </c>
      <c r="J180" s="3" t="s">
        <v>104</v>
      </c>
      <c r="K180" s="3" t="s">
        <v>34</v>
      </c>
      <c r="L180" s="4">
        <v>4</v>
      </c>
      <c r="M180" s="3">
        <v>500</v>
      </c>
      <c r="N180" s="3">
        <v>800</v>
      </c>
      <c r="O180" s="15">
        <f>Bike_Sales[[#This Row],[Order_Quantity]]*Bike_Sales[[#This Row],[Unit_Price]]</f>
        <v>3200</v>
      </c>
      <c r="P180" s="15">
        <f>Bike_Sales[[#This Row],[Order_Quantity]]*Bike_Sales[[#This Row],[Unit_Cost]]</f>
        <v>2000</v>
      </c>
      <c r="Q180" s="15">
        <f>Bike_Sales[[#This Row],[Total Sales]]-Bike_Sales[[#This Row],[Total Cost]]</f>
        <v>1200</v>
      </c>
      <c r="R180" s="17">
        <f>Bike_Sales[[#This Row],[Profit]]/Bike_Sales[[#This Row],[Total Sales]]</f>
        <v>0.375</v>
      </c>
      <c r="S180" s="16" t="str">
        <f t="shared" si="2"/>
        <v>25-34</v>
      </c>
    </row>
    <row r="181" spans="1:19" x14ac:dyDescent="0.35">
      <c r="A181" s="2">
        <v>44525</v>
      </c>
      <c r="B181" s="2" t="str">
        <f>TEXT(Bike_Sales[[#This Row],[Date]],"mmmm")</f>
        <v>November</v>
      </c>
      <c r="C181" s="19">
        <f>MONTH(Bike_Sales[[#This Row],[Date]])</f>
        <v>11</v>
      </c>
      <c r="D181" s="2" t="str">
        <f>TEXT(Bike_Sales[[#This Row],[Date]],"dddd")</f>
        <v>Thursday</v>
      </c>
      <c r="E181" s="3">
        <v>27</v>
      </c>
      <c r="F181" s="3" t="s">
        <v>126</v>
      </c>
      <c r="G181" s="3" t="s">
        <v>18</v>
      </c>
      <c r="H181" s="3" t="s">
        <v>19</v>
      </c>
      <c r="I181" s="3" t="s">
        <v>11</v>
      </c>
      <c r="J181" s="3" t="s">
        <v>101</v>
      </c>
      <c r="K181" s="3" t="s">
        <v>31</v>
      </c>
      <c r="L181" s="4">
        <v>3</v>
      </c>
      <c r="M181" s="3">
        <v>580</v>
      </c>
      <c r="N181" s="3">
        <v>920</v>
      </c>
      <c r="O181" s="15">
        <f>Bike_Sales[[#This Row],[Order_Quantity]]*Bike_Sales[[#This Row],[Unit_Price]]</f>
        <v>2760</v>
      </c>
      <c r="P181" s="15">
        <f>Bike_Sales[[#This Row],[Order_Quantity]]*Bike_Sales[[#This Row],[Unit_Cost]]</f>
        <v>1740</v>
      </c>
      <c r="Q181" s="15">
        <f>Bike_Sales[[#This Row],[Total Sales]]-Bike_Sales[[#This Row],[Total Cost]]</f>
        <v>1020</v>
      </c>
      <c r="R181" s="17">
        <f>Bike_Sales[[#This Row],[Profit]]/Bike_Sales[[#This Row],[Total Sales]]</f>
        <v>0.36956521739130432</v>
      </c>
      <c r="S181" s="16" t="str">
        <f t="shared" si="2"/>
        <v>25-34</v>
      </c>
    </row>
    <row r="182" spans="1:19" x14ac:dyDescent="0.35">
      <c r="A182" s="2">
        <v>44526</v>
      </c>
      <c r="B182" s="2" t="str">
        <f>TEXT(Bike_Sales[[#This Row],[Date]],"mmmm")</f>
        <v>November</v>
      </c>
      <c r="C182" s="19">
        <f>MONTH(Bike_Sales[[#This Row],[Date]])</f>
        <v>11</v>
      </c>
      <c r="D182" s="2" t="str">
        <f>TEXT(Bike_Sales[[#This Row],[Date]],"dddd")</f>
        <v>Friday</v>
      </c>
      <c r="E182" s="3">
        <v>27</v>
      </c>
      <c r="F182" s="3" t="s">
        <v>135</v>
      </c>
      <c r="G182" s="3" t="s">
        <v>129</v>
      </c>
      <c r="H182" s="3" t="s">
        <v>15</v>
      </c>
      <c r="I182" s="3" t="s">
        <v>11</v>
      </c>
      <c r="J182" s="3" t="s">
        <v>104</v>
      </c>
      <c r="K182" s="3" t="s">
        <v>52</v>
      </c>
      <c r="L182" s="4">
        <v>3</v>
      </c>
      <c r="M182" s="3">
        <v>530</v>
      </c>
      <c r="N182" s="3">
        <v>840</v>
      </c>
      <c r="O182" s="15">
        <f>Bike_Sales[[#This Row],[Order_Quantity]]*Bike_Sales[[#This Row],[Unit_Price]]</f>
        <v>2520</v>
      </c>
      <c r="P182" s="15">
        <f>Bike_Sales[[#This Row],[Order_Quantity]]*Bike_Sales[[#This Row],[Unit_Cost]]</f>
        <v>1590</v>
      </c>
      <c r="Q182" s="15">
        <f>Bike_Sales[[#This Row],[Total Sales]]-Bike_Sales[[#This Row],[Total Cost]]</f>
        <v>930</v>
      </c>
      <c r="R182" s="17">
        <f>Bike_Sales[[#This Row],[Profit]]/Bike_Sales[[#This Row],[Total Sales]]</f>
        <v>0.36904761904761907</v>
      </c>
      <c r="S182" s="16" t="str">
        <f t="shared" si="2"/>
        <v>25-34</v>
      </c>
    </row>
    <row r="183" spans="1:19" x14ac:dyDescent="0.35">
      <c r="A183" s="2">
        <v>44527</v>
      </c>
      <c r="B183" s="2" t="str">
        <f>TEXT(Bike_Sales[[#This Row],[Date]],"mmmm")</f>
        <v>November</v>
      </c>
      <c r="C183" s="19">
        <f>MONTH(Bike_Sales[[#This Row],[Date]])</f>
        <v>11</v>
      </c>
      <c r="D183" s="2" t="str">
        <f>TEXT(Bike_Sales[[#This Row],[Date]],"dddd")</f>
        <v>Saturday</v>
      </c>
      <c r="E183" s="3">
        <v>27</v>
      </c>
      <c r="F183" s="3" t="s">
        <v>126</v>
      </c>
      <c r="G183" s="3" t="s">
        <v>13</v>
      </c>
      <c r="H183" s="3" t="s">
        <v>127</v>
      </c>
      <c r="I183" s="3" t="s">
        <v>11</v>
      </c>
      <c r="J183" s="3" t="s">
        <v>102</v>
      </c>
      <c r="K183" s="3" t="s">
        <v>14</v>
      </c>
      <c r="L183" s="4">
        <v>3</v>
      </c>
      <c r="M183" s="3">
        <v>620</v>
      </c>
      <c r="N183" s="3">
        <v>980</v>
      </c>
      <c r="O183" s="15">
        <f>Bike_Sales[[#This Row],[Order_Quantity]]*Bike_Sales[[#This Row],[Unit_Price]]</f>
        <v>2940</v>
      </c>
      <c r="P183" s="15">
        <f>Bike_Sales[[#This Row],[Order_Quantity]]*Bike_Sales[[#This Row],[Unit_Cost]]</f>
        <v>1860</v>
      </c>
      <c r="Q183" s="15">
        <f>Bike_Sales[[#This Row],[Total Sales]]-Bike_Sales[[#This Row],[Total Cost]]</f>
        <v>1080</v>
      </c>
      <c r="R183" s="17">
        <f>Bike_Sales[[#This Row],[Profit]]/Bike_Sales[[#This Row],[Total Sales]]</f>
        <v>0.36734693877551022</v>
      </c>
      <c r="S183" s="16" t="str">
        <f t="shared" si="2"/>
        <v>25-34</v>
      </c>
    </row>
    <row r="184" spans="1:19" x14ac:dyDescent="0.35">
      <c r="A184" s="2">
        <v>44527</v>
      </c>
      <c r="B184" s="2" t="str">
        <f>TEXT(Bike_Sales[[#This Row],[Date]],"mmmm")</f>
        <v>November</v>
      </c>
      <c r="C184" s="19">
        <f>MONTH(Bike_Sales[[#This Row],[Date]])</f>
        <v>11</v>
      </c>
      <c r="D184" s="2" t="str">
        <f>TEXT(Bike_Sales[[#This Row],[Date]],"dddd")</f>
        <v>Saturday</v>
      </c>
      <c r="E184" s="3">
        <v>27</v>
      </c>
      <c r="F184" s="3" t="s">
        <v>126</v>
      </c>
      <c r="G184" s="3" t="s">
        <v>13</v>
      </c>
      <c r="H184" s="3" t="s">
        <v>127</v>
      </c>
      <c r="I184" s="3" t="s">
        <v>11</v>
      </c>
      <c r="J184" s="3" t="s">
        <v>102</v>
      </c>
      <c r="K184" s="3" t="s">
        <v>14</v>
      </c>
      <c r="L184" s="4">
        <v>2</v>
      </c>
      <c r="M184" s="3">
        <v>620</v>
      </c>
      <c r="N184" s="3">
        <v>980</v>
      </c>
      <c r="O184" s="15">
        <f>Bike_Sales[[#This Row],[Order_Quantity]]*Bike_Sales[[#This Row],[Unit_Price]]</f>
        <v>1960</v>
      </c>
      <c r="P184" s="15">
        <f>Bike_Sales[[#This Row],[Order_Quantity]]*Bike_Sales[[#This Row],[Unit_Cost]]</f>
        <v>1240</v>
      </c>
      <c r="Q184" s="15">
        <f>Bike_Sales[[#This Row],[Total Sales]]-Bike_Sales[[#This Row],[Total Cost]]</f>
        <v>720</v>
      </c>
      <c r="R184" s="17">
        <f>Bike_Sales[[#This Row],[Profit]]/Bike_Sales[[#This Row],[Total Sales]]</f>
        <v>0.36734693877551022</v>
      </c>
      <c r="S184" s="16" t="str">
        <f t="shared" si="2"/>
        <v>25-34</v>
      </c>
    </row>
    <row r="185" spans="1:19" x14ac:dyDescent="0.35">
      <c r="A185" s="2">
        <v>44527</v>
      </c>
      <c r="B185" s="2" t="str">
        <f>TEXT(Bike_Sales[[#This Row],[Date]],"mmmm")</f>
        <v>November</v>
      </c>
      <c r="C185" s="19">
        <f>MONTH(Bike_Sales[[#This Row],[Date]])</f>
        <v>11</v>
      </c>
      <c r="D185" s="2" t="str">
        <f>TEXT(Bike_Sales[[#This Row],[Date]],"dddd")</f>
        <v>Saturday</v>
      </c>
      <c r="E185" s="3">
        <v>27</v>
      </c>
      <c r="F185" s="3" t="s">
        <v>126</v>
      </c>
      <c r="G185" s="3" t="s">
        <v>13</v>
      </c>
      <c r="H185" s="3" t="s">
        <v>127</v>
      </c>
      <c r="I185" s="3" t="s">
        <v>11</v>
      </c>
      <c r="J185" s="3" t="s">
        <v>102</v>
      </c>
      <c r="K185" s="3" t="s">
        <v>14</v>
      </c>
      <c r="L185" s="4">
        <v>1</v>
      </c>
      <c r="M185" s="3">
        <v>620</v>
      </c>
      <c r="N185" s="3">
        <v>980</v>
      </c>
      <c r="O185" s="15">
        <f>Bike_Sales[[#This Row],[Order_Quantity]]*Bike_Sales[[#This Row],[Unit_Price]]</f>
        <v>980</v>
      </c>
      <c r="P185" s="15">
        <f>Bike_Sales[[#This Row],[Order_Quantity]]*Bike_Sales[[#This Row],[Unit_Cost]]</f>
        <v>620</v>
      </c>
      <c r="Q185" s="15">
        <f>Bike_Sales[[#This Row],[Total Sales]]-Bike_Sales[[#This Row],[Total Cost]]</f>
        <v>360</v>
      </c>
      <c r="R185" s="17">
        <f>Bike_Sales[[#This Row],[Profit]]/Bike_Sales[[#This Row],[Total Sales]]</f>
        <v>0.36734693877551022</v>
      </c>
      <c r="S185" s="16" t="str">
        <f t="shared" si="2"/>
        <v>25-34</v>
      </c>
    </row>
    <row r="186" spans="1:19" x14ac:dyDescent="0.35">
      <c r="A186" s="2">
        <v>44528</v>
      </c>
      <c r="B186" s="2" t="str">
        <f>TEXT(Bike_Sales[[#This Row],[Date]],"mmmm")</f>
        <v>November</v>
      </c>
      <c r="C186" s="19">
        <f>MONTH(Bike_Sales[[#This Row],[Date]])</f>
        <v>11</v>
      </c>
      <c r="D186" s="2" t="str">
        <f>TEXT(Bike_Sales[[#This Row],[Date]],"dddd")</f>
        <v>Sunday</v>
      </c>
      <c r="E186" s="3">
        <v>27</v>
      </c>
      <c r="F186" s="3" t="s">
        <v>135</v>
      </c>
      <c r="G186" s="3" t="s">
        <v>13</v>
      </c>
      <c r="H186" s="3" t="s">
        <v>127</v>
      </c>
      <c r="I186" s="3" t="s">
        <v>11</v>
      </c>
      <c r="J186" s="3" t="s">
        <v>104</v>
      </c>
      <c r="K186" s="3" t="s">
        <v>34</v>
      </c>
      <c r="L186" s="4">
        <v>1</v>
      </c>
      <c r="M186" s="3">
        <v>500</v>
      </c>
      <c r="N186" s="3">
        <v>800</v>
      </c>
      <c r="O186" s="15">
        <f>Bike_Sales[[#This Row],[Order_Quantity]]*Bike_Sales[[#This Row],[Unit_Price]]</f>
        <v>800</v>
      </c>
      <c r="P186" s="15">
        <f>Bike_Sales[[#This Row],[Order_Quantity]]*Bike_Sales[[#This Row],[Unit_Cost]]</f>
        <v>500</v>
      </c>
      <c r="Q186" s="15">
        <f>Bike_Sales[[#This Row],[Total Sales]]-Bike_Sales[[#This Row],[Total Cost]]</f>
        <v>300</v>
      </c>
      <c r="R186" s="17">
        <f>Bike_Sales[[#This Row],[Profit]]/Bike_Sales[[#This Row],[Total Sales]]</f>
        <v>0.375</v>
      </c>
      <c r="S186" s="16" t="str">
        <f t="shared" si="2"/>
        <v>25-34</v>
      </c>
    </row>
    <row r="187" spans="1:19" x14ac:dyDescent="0.35">
      <c r="A187" s="2">
        <v>44534</v>
      </c>
      <c r="B187" s="2" t="str">
        <f>TEXT(Bike_Sales[[#This Row],[Date]],"mmmm")</f>
        <v>December</v>
      </c>
      <c r="C187" s="19">
        <f>MONTH(Bike_Sales[[#This Row],[Date]])</f>
        <v>12</v>
      </c>
      <c r="D187" s="2" t="str">
        <f>TEXT(Bike_Sales[[#This Row],[Date]],"dddd")</f>
        <v>Saturday</v>
      </c>
      <c r="E187" s="3">
        <v>27</v>
      </c>
      <c r="F187" s="3" t="s">
        <v>126</v>
      </c>
      <c r="G187" s="3" t="s">
        <v>9</v>
      </c>
      <c r="H187" s="3" t="s">
        <v>10</v>
      </c>
      <c r="I187" s="3" t="s">
        <v>11</v>
      </c>
      <c r="J187" s="3" t="s">
        <v>104</v>
      </c>
      <c r="K187" s="3" t="s">
        <v>68</v>
      </c>
      <c r="L187" s="4">
        <v>1</v>
      </c>
      <c r="M187" s="3">
        <v>500</v>
      </c>
      <c r="N187" s="3">
        <v>800</v>
      </c>
      <c r="O187" s="15">
        <f>Bike_Sales[[#This Row],[Order_Quantity]]*Bike_Sales[[#This Row],[Unit_Price]]</f>
        <v>800</v>
      </c>
      <c r="P187" s="15">
        <f>Bike_Sales[[#This Row],[Order_Quantity]]*Bike_Sales[[#This Row],[Unit_Cost]]</f>
        <v>500</v>
      </c>
      <c r="Q187" s="15">
        <f>Bike_Sales[[#This Row],[Total Sales]]-Bike_Sales[[#This Row],[Total Cost]]</f>
        <v>300</v>
      </c>
      <c r="R187" s="17">
        <f>Bike_Sales[[#This Row],[Profit]]/Bike_Sales[[#This Row],[Total Sales]]</f>
        <v>0.375</v>
      </c>
      <c r="S187" s="16" t="str">
        <f t="shared" si="2"/>
        <v>25-34</v>
      </c>
    </row>
    <row r="188" spans="1:19" x14ac:dyDescent="0.35">
      <c r="A188" s="2">
        <v>44535</v>
      </c>
      <c r="B188" s="2" t="str">
        <f>TEXT(Bike_Sales[[#This Row],[Date]],"mmmm")</f>
        <v>December</v>
      </c>
      <c r="C188" s="19">
        <f>MONTH(Bike_Sales[[#This Row],[Date]])</f>
        <v>12</v>
      </c>
      <c r="D188" s="2" t="str">
        <f>TEXT(Bike_Sales[[#This Row],[Date]],"dddd")</f>
        <v>Sunday</v>
      </c>
      <c r="E188" s="3">
        <v>27</v>
      </c>
      <c r="F188" s="3" t="s">
        <v>126</v>
      </c>
      <c r="G188" s="3" t="s">
        <v>39</v>
      </c>
      <c r="H188" s="3" t="s">
        <v>92</v>
      </c>
      <c r="I188" s="3" t="s">
        <v>11</v>
      </c>
      <c r="J188" s="3" t="s">
        <v>102</v>
      </c>
      <c r="K188" s="3" t="s">
        <v>66</v>
      </c>
      <c r="L188" s="4">
        <v>3</v>
      </c>
      <c r="M188" s="3">
        <v>900</v>
      </c>
      <c r="N188" s="3">
        <v>1400</v>
      </c>
      <c r="O188" s="15">
        <f>Bike_Sales[[#This Row],[Order_Quantity]]*Bike_Sales[[#This Row],[Unit_Price]]</f>
        <v>4200</v>
      </c>
      <c r="P188" s="15">
        <f>Bike_Sales[[#This Row],[Order_Quantity]]*Bike_Sales[[#This Row],[Unit_Cost]]</f>
        <v>2700</v>
      </c>
      <c r="Q188" s="15">
        <f>Bike_Sales[[#This Row],[Total Sales]]-Bike_Sales[[#This Row],[Total Cost]]</f>
        <v>1500</v>
      </c>
      <c r="R188" s="17">
        <f>Bike_Sales[[#This Row],[Profit]]/Bike_Sales[[#This Row],[Total Sales]]</f>
        <v>0.35714285714285715</v>
      </c>
      <c r="S188" s="16" t="str">
        <f t="shared" si="2"/>
        <v>25-34</v>
      </c>
    </row>
    <row r="189" spans="1:19" x14ac:dyDescent="0.35">
      <c r="A189" s="2">
        <v>44536</v>
      </c>
      <c r="B189" s="2" t="str">
        <f>TEXT(Bike_Sales[[#This Row],[Date]],"mmmm")</f>
        <v>December</v>
      </c>
      <c r="C189" s="19">
        <f>MONTH(Bike_Sales[[#This Row],[Date]])</f>
        <v>12</v>
      </c>
      <c r="D189" s="2" t="str">
        <f>TEXT(Bike_Sales[[#This Row],[Date]],"dddd")</f>
        <v>Monday</v>
      </c>
      <c r="E189" s="3">
        <v>27</v>
      </c>
      <c r="F189" s="3" t="s">
        <v>126</v>
      </c>
      <c r="G189" s="3" t="s">
        <v>13</v>
      </c>
      <c r="H189" s="3" t="s">
        <v>127</v>
      </c>
      <c r="I189" s="3" t="s">
        <v>16</v>
      </c>
      <c r="J189" s="3" t="s">
        <v>101</v>
      </c>
      <c r="K189" s="3" t="s">
        <v>49</v>
      </c>
      <c r="L189" s="4">
        <v>1</v>
      </c>
      <c r="M189" s="3">
        <v>550</v>
      </c>
      <c r="N189" s="3">
        <v>850</v>
      </c>
      <c r="O189" s="15">
        <f>Bike_Sales[[#This Row],[Order_Quantity]]*Bike_Sales[[#This Row],[Unit_Price]]</f>
        <v>850</v>
      </c>
      <c r="P189" s="15">
        <f>Bike_Sales[[#This Row],[Order_Quantity]]*Bike_Sales[[#This Row],[Unit_Cost]]</f>
        <v>550</v>
      </c>
      <c r="Q189" s="15">
        <f>Bike_Sales[[#This Row],[Total Sales]]-Bike_Sales[[#This Row],[Total Cost]]</f>
        <v>300</v>
      </c>
      <c r="R189" s="17">
        <f>Bike_Sales[[#This Row],[Profit]]/Bike_Sales[[#This Row],[Total Sales]]</f>
        <v>0.35294117647058826</v>
      </c>
      <c r="S189" s="16" t="str">
        <f t="shared" si="2"/>
        <v>25-34</v>
      </c>
    </row>
    <row r="190" spans="1:19" x14ac:dyDescent="0.35">
      <c r="A190" s="2">
        <v>44538</v>
      </c>
      <c r="B190" s="2" t="str">
        <f>TEXT(Bike_Sales[[#This Row],[Date]],"mmmm")</f>
        <v>December</v>
      </c>
      <c r="C190" s="19">
        <f>MONTH(Bike_Sales[[#This Row],[Date]])</f>
        <v>12</v>
      </c>
      <c r="D190" s="2" t="str">
        <f>TEXT(Bike_Sales[[#This Row],[Date]],"dddd")</f>
        <v>Wednesday</v>
      </c>
      <c r="E190" s="3">
        <v>27</v>
      </c>
      <c r="F190" s="3" t="s">
        <v>126</v>
      </c>
      <c r="G190" s="3" t="s">
        <v>18</v>
      </c>
      <c r="H190" s="3" t="s">
        <v>21</v>
      </c>
      <c r="I190" s="3" t="s">
        <v>11</v>
      </c>
      <c r="J190" s="3" t="s">
        <v>104</v>
      </c>
      <c r="K190" s="3" t="s">
        <v>53</v>
      </c>
      <c r="L190" s="4">
        <v>4</v>
      </c>
      <c r="M190" s="3">
        <v>500</v>
      </c>
      <c r="N190" s="3">
        <v>800</v>
      </c>
      <c r="O190" s="15">
        <f>Bike_Sales[[#This Row],[Order_Quantity]]*Bike_Sales[[#This Row],[Unit_Price]]</f>
        <v>3200</v>
      </c>
      <c r="P190" s="15">
        <f>Bike_Sales[[#This Row],[Order_Quantity]]*Bike_Sales[[#This Row],[Unit_Cost]]</f>
        <v>2000</v>
      </c>
      <c r="Q190" s="15">
        <f>Bike_Sales[[#This Row],[Total Sales]]-Bike_Sales[[#This Row],[Total Cost]]</f>
        <v>1200</v>
      </c>
      <c r="R190" s="17">
        <f>Bike_Sales[[#This Row],[Profit]]/Bike_Sales[[#This Row],[Total Sales]]</f>
        <v>0.375</v>
      </c>
      <c r="S190" s="16" t="str">
        <f t="shared" si="2"/>
        <v>25-34</v>
      </c>
    </row>
    <row r="191" spans="1:19" x14ac:dyDescent="0.35">
      <c r="A191" s="2">
        <v>44540</v>
      </c>
      <c r="B191" s="2" t="str">
        <f>TEXT(Bike_Sales[[#This Row],[Date]],"mmmm")</f>
        <v>December</v>
      </c>
      <c r="C191" s="19">
        <f>MONTH(Bike_Sales[[#This Row],[Date]])</f>
        <v>12</v>
      </c>
      <c r="D191" s="2" t="str">
        <f>TEXT(Bike_Sales[[#This Row],[Date]],"dddd")</f>
        <v>Friday</v>
      </c>
      <c r="E191" s="3">
        <v>27</v>
      </c>
      <c r="F191" s="3" t="s">
        <v>135</v>
      </c>
      <c r="G191" s="3" t="s">
        <v>18</v>
      </c>
      <c r="H191" s="3" t="s">
        <v>35</v>
      </c>
      <c r="I191" s="3" t="s">
        <v>11</v>
      </c>
      <c r="J191" s="3" t="s">
        <v>101</v>
      </c>
      <c r="K191" s="3" t="s">
        <v>31</v>
      </c>
      <c r="L191" s="4">
        <v>2</v>
      </c>
      <c r="M191" s="3">
        <v>580</v>
      </c>
      <c r="N191" s="3">
        <v>920</v>
      </c>
      <c r="O191" s="15">
        <f>Bike_Sales[[#This Row],[Order_Quantity]]*Bike_Sales[[#This Row],[Unit_Price]]</f>
        <v>1840</v>
      </c>
      <c r="P191" s="15">
        <f>Bike_Sales[[#This Row],[Order_Quantity]]*Bike_Sales[[#This Row],[Unit_Cost]]</f>
        <v>1160</v>
      </c>
      <c r="Q191" s="15">
        <f>Bike_Sales[[#This Row],[Total Sales]]-Bike_Sales[[#This Row],[Total Cost]]</f>
        <v>680</v>
      </c>
      <c r="R191" s="17">
        <f>Bike_Sales[[#This Row],[Profit]]/Bike_Sales[[#This Row],[Total Sales]]</f>
        <v>0.36956521739130432</v>
      </c>
      <c r="S191" s="16" t="str">
        <f t="shared" si="2"/>
        <v>25-34</v>
      </c>
    </row>
    <row r="192" spans="1:19" x14ac:dyDescent="0.35">
      <c r="A192" s="2">
        <v>44541</v>
      </c>
      <c r="B192" s="2" t="str">
        <f>TEXT(Bike_Sales[[#This Row],[Date]],"mmmm")</f>
        <v>December</v>
      </c>
      <c r="C192" s="19">
        <f>MONTH(Bike_Sales[[#This Row],[Date]])</f>
        <v>12</v>
      </c>
      <c r="D192" s="2" t="str">
        <f>TEXT(Bike_Sales[[#This Row],[Date]],"dddd")</f>
        <v>Saturday</v>
      </c>
      <c r="E192" s="3">
        <v>27</v>
      </c>
      <c r="F192" s="3" t="s">
        <v>135</v>
      </c>
      <c r="G192" s="3" t="s">
        <v>39</v>
      </c>
      <c r="H192" s="3" t="s">
        <v>76</v>
      </c>
      <c r="I192" s="3" t="s">
        <v>11</v>
      </c>
      <c r="J192" s="3" t="s">
        <v>102</v>
      </c>
      <c r="K192" s="3" t="s">
        <v>36</v>
      </c>
      <c r="L192" s="4">
        <v>3</v>
      </c>
      <c r="M192" s="3">
        <v>580</v>
      </c>
      <c r="N192" s="3">
        <v>920</v>
      </c>
      <c r="O192" s="15">
        <f>Bike_Sales[[#This Row],[Order_Quantity]]*Bike_Sales[[#This Row],[Unit_Price]]</f>
        <v>2760</v>
      </c>
      <c r="P192" s="15">
        <f>Bike_Sales[[#This Row],[Order_Quantity]]*Bike_Sales[[#This Row],[Unit_Cost]]</f>
        <v>1740</v>
      </c>
      <c r="Q192" s="15">
        <f>Bike_Sales[[#This Row],[Total Sales]]-Bike_Sales[[#This Row],[Total Cost]]</f>
        <v>1020</v>
      </c>
      <c r="R192" s="17">
        <f>Bike_Sales[[#This Row],[Profit]]/Bike_Sales[[#This Row],[Total Sales]]</f>
        <v>0.36956521739130432</v>
      </c>
      <c r="S192" s="16" t="str">
        <f t="shared" si="2"/>
        <v>25-34</v>
      </c>
    </row>
    <row r="193" spans="1:19" x14ac:dyDescent="0.35">
      <c r="A193" s="2">
        <v>44541</v>
      </c>
      <c r="B193" s="2" t="str">
        <f>TEXT(Bike_Sales[[#This Row],[Date]],"mmmm")</f>
        <v>December</v>
      </c>
      <c r="C193" s="19">
        <f>MONTH(Bike_Sales[[#This Row],[Date]])</f>
        <v>12</v>
      </c>
      <c r="D193" s="2" t="str">
        <f>TEXT(Bike_Sales[[#This Row],[Date]],"dddd")</f>
        <v>Saturday</v>
      </c>
      <c r="E193" s="3">
        <v>27</v>
      </c>
      <c r="F193" s="3" t="s">
        <v>126</v>
      </c>
      <c r="G193" s="3" t="s">
        <v>13</v>
      </c>
      <c r="H193" s="3" t="s">
        <v>127</v>
      </c>
      <c r="I193" s="3" t="s">
        <v>16</v>
      </c>
      <c r="J193" s="3" t="s">
        <v>101</v>
      </c>
      <c r="K193" s="3" t="s">
        <v>49</v>
      </c>
      <c r="L193" s="4">
        <v>1</v>
      </c>
      <c r="M193" s="3">
        <v>550</v>
      </c>
      <c r="N193" s="3">
        <v>850</v>
      </c>
      <c r="O193" s="15">
        <f>Bike_Sales[[#This Row],[Order_Quantity]]*Bike_Sales[[#This Row],[Unit_Price]]</f>
        <v>850</v>
      </c>
      <c r="P193" s="15">
        <f>Bike_Sales[[#This Row],[Order_Quantity]]*Bike_Sales[[#This Row],[Unit_Cost]]</f>
        <v>550</v>
      </c>
      <c r="Q193" s="15">
        <f>Bike_Sales[[#This Row],[Total Sales]]-Bike_Sales[[#This Row],[Total Cost]]</f>
        <v>300</v>
      </c>
      <c r="R193" s="17">
        <f>Bike_Sales[[#This Row],[Profit]]/Bike_Sales[[#This Row],[Total Sales]]</f>
        <v>0.35294117647058826</v>
      </c>
      <c r="S193" s="16" t="str">
        <f t="shared" si="2"/>
        <v>25-34</v>
      </c>
    </row>
    <row r="194" spans="1:19" x14ac:dyDescent="0.35">
      <c r="A194" s="2">
        <v>44541</v>
      </c>
      <c r="B194" s="2" t="str">
        <f>TEXT(Bike_Sales[[#This Row],[Date]],"mmmm")</f>
        <v>December</v>
      </c>
      <c r="C194" s="19">
        <f>MONTH(Bike_Sales[[#This Row],[Date]])</f>
        <v>12</v>
      </c>
      <c r="D194" s="2" t="str">
        <f>TEXT(Bike_Sales[[#This Row],[Date]],"dddd")</f>
        <v>Saturday</v>
      </c>
      <c r="E194" s="3">
        <v>27</v>
      </c>
      <c r="F194" s="3" t="s">
        <v>135</v>
      </c>
      <c r="G194" s="3" t="s">
        <v>39</v>
      </c>
      <c r="H194" s="3" t="s">
        <v>42</v>
      </c>
      <c r="I194" s="3" t="s">
        <v>11</v>
      </c>
      <c r="J194" s="3" t="s">
        <v>101</v>
      </c>
      <c r="K194" s="3" t="s">
        <v>46</v>
      </c>
      <c r="L194" s="4">
        <v>1</v>
      </c>
      <c r="M194" s="3">
        <v>580</v>
      </c>
      <c r="N194" s="3">
        <v>920</v>
      </c>
      <c r="O194" s="15">
        <f>Bike_Sales[[#This Row],[Order_Quantity]]*Bike_Sales[[#This Row],[Unit_Price]]</f>
        <v>920</v>
      </c>
      <c r="P194" s="15">
        <f>Bike_Sales[[#This Row],[Order_Quantity]]*Bike_Sales[[#This Row],[Unit_Cost]]</f>
        <v>580</v>
      </c>
      <c r="Q194" s="15">
        <f>Bike_Sales[[#This Row],[Total Sales]]-Bike_Sales[[#This Row],[Total Cost]]</f>
        <v>340</v>
      </c>
      <c r="R194" s="17">
        <f>Bike_Sales[[#This Row],[Profit]]/Bike_Sales[[#This Row],[Total Sales]]</f>
        <v>0.36956521739130432</v>
      </c>
      <c r="S194" s="16" t="str">
        <f t="shared" ref="S194:S257" si="3">IF(E194&lt;25,"Under 25",IF(E194&lt;35,"25-34",IF(E194&lt;45,"35-44",IF(E194&lt;55,"45-54","55+"))))</f>
        <v>25-34</v>
      </c>
    </row>
    <row r="195" spans="1:19" x14ac:dyDescent="0.35">
      <c r="A195" s="2">
        <v>44542</v>
      </c>
      <c r="B195" s="2" t="str">
        <f>TEXT(Bike_Sales[[#This Row],[Date]],"mmmm")</f>
        <v>December</v>
      </c>
      <c r="C195" s="19">
        <f>MONTH(Bike_Sales[[#This Row],[Date]])</f>
        <v>12</v>
      </c>
      <c r="D195" s="2" t="str">
        <f>TEXT(Bike_Sales[[#This Row],[Date]],"dddd")</f>
        <v>Sunday</v>
      </c>
      <c r="E195" s="3">
        <v>27</v>
      </c>
      <c r="F195" s="3" t="s">
        <v>126</v>
      </c>
      <c r="G195" s="3" t="s">
        <v>18</v>
      </c>
      <c r="H195" s="3" t="s">
        <v>35</v>
      </c>
      <c r="I195" s="3" t="s">
        <v>11</v>
      </c>
      <c r="J195" s="3" t="s">
        <v>101</v>
      </c>
      <c r="K195" s="3" t="s">
        <v>60</v>
      </c>
      <c r="L195" s="4">
        <v>4</v>
      </c>
      <c r="M195" s="3">
        <v>700</v>
      </c>
      <c r="N195" s="3">
        <v>1100</v>
      </c>
      <c r="O195" s="15">
        <f>Bike_Sales[[#This Row],[Order_Quantity]]*Bike_Sales[[#This Row],[Unit_Price]]</f>
        <v>4400</v>
      </c>
      <c r="P195" s="15">
        <f>Bike_Sales[[#This Row],[Order_Quantity]]*Bike_Sales[[#This Row],[Unit_Cost]]</f>
        <v>2800</v>
      </c>
      <c r="Q195" s="15">
        <f>Bike_Sales[[#This Row],[Total Sales]]-Bike_Sales[[#This Row],[Total Cost]]</f>
        <v>1600</v>
      </c>
      <c r="R195" s="17">
        <f>Bike_Sales[[#This Row],[Profit]]/Bike_Sales[[#This Row],[Total Sales]]</f>
        <v>0.36363636363636365</v>
      </c>
      <c r="S195" s="16" t="str">
        <f t="shared" si="3"/>
        <v>25-34</v>
      </c>
    </row>
    <row r="196" spans="1:19" x14ac:dyDescent="0.35">
      <c r="A196" s="2">
        <v>44543</v>
      </c>
      <c r="B196" s="2" t="str">
        <f>TEXT(Bike_Sales[[#This Row],[Date]],"mmmm")</f>
        <v>December</v>
      </c>
      <c r="C196" s="19">
        <f>MONTH(Bike_Sales[[#This Row],[Date]])</f>
        <v>12</v>
      </c>
      <c r="D196" s="2" t="str">
        <f>TEXT(Bike_Sales[[#This Row],[Date]],"dddd")</f>
        <v>Monday</v>
      </c>
      <c r="E196" s="3">
        <v>27</v>
      </c>
      <c r="F196" s="3" t="s">
        <v>126</v>
      </c>
      <c r="G196" s="3" t="s">
        <v>18</v>
      </c>
      <c r="H196" s="3" t="s">
        <v>35</v>
      </c>
      <c r="I196" s="3" t="s">
        <v>11</v>
      </c>
      <c r="J196" s="3" t="s">
        <v>101</v>
      </c>
      <c r="K196" s="3" t="s">
        <v>60</v>
      </c>
      <c r="L196" s="4">
        <v>1</v>
      </c>
      <c r="M196" s="3">
        <v>700</v>
      </c>
      <c r="N196" s="3">
        <v>1100</v>
      </c>
      <c r="O196" s="15">
        <f>Bike_Sales[[#This Row],[Order_Quantity]]*Bike_Sales[[#This Row],[Unit_Price]]</f>
        <v>1100</v>
      </c>
      <c r="P196" s="15">
        <f>Bike_Sales[[#This Row],[Order_Quantity]]*Bike_Sales[[#This Row],[Unit_Cost]]</f>
        <v>700</v>
      </c>
      <c r="Q196" s="15">
        <f>Bike_Sales[[#This Row],[Total Sales]]-Bike_Sales[[#This Row],[Total Cost]]</f>
        <v>400</v>
      </c>
      <c r="R196" s="17">
        <f>Bike_Sales[[#This Row],[Profit]]/Bike_Sales[[#This Row],[Total Sales]]</f>
        <v>0.36363636363636365</v>
      </c>
      <c r="S196" s="16" t="str">
        <f t="shared" si="3"/>
        <v>25-34</v>
      </c>
    </row>
    <row r="197" spans="1:19" x14ac:dyDescent="0.35">
      <c r="A197" s="2">
        <v>44546</v>
      </c>
      <c r="B197" s="2" t="str">
        <f>TEXT(Bike_Sales[[#This Row],[Date]],"mmmm")</f>
        <v>December</v>
      </c>
      <c r="C197" s="19">
        <f>MONTH(Bike_Sales[[#This Row],[Date]])</f>
        <v>12</v>
      </c>
      <c r="D197" s="2" t="str">
        <f>TEXT(Bike_Sales[[#This Row],[Date]],"dddd")</f>
        <v>Thursday</v>
      </c>
      <c r="E197" s="3">
        <v>27</v>
      </c>
      <c r="F197" s="3" t="s">
        <v>135</v>
      </c>
      <c r="G197" s="3" t="s">
        <v>39</v>
      </c>
      <c r="H197" s="3" t="s">
        <v>130</v>
      </c>
      <c r="I197" s="3" t="s">
        <v>16</v>
      </c>
      <c r="J197" s="3" t="s">
        <v>103</v>
      </c>
      <c r="K197" s="3" t="s">
        <v>50</v>
      </c>
      <c r="L197" s="4">
        <v>1</v>
      </c>
      <c r="M197" s="3">
        <v>550</v>
      </c>
      <c r="N197" s="3">
        <v>850</v>
      </c>
      <c r="O197" s="15">
        <f>Bike_Sales[[#This Row],[Order_Quantity]]*Bike_Sales[[#This Row],[Unit_Price]]</f>
        <v>850</v>
      </c>
      <c r="P197" s="15">
        <f>Bike_Sales[[#This Row],[Order_Quantity]]*Bike_Sales[[#This Row],[Unit_Cost]]</f>
        <v>550</v>
      </c>
      <c r="Q197" s="15">
        <f>Bike_Sales[[#This Row],[Total Sales]]-Bike_Sales[[#This Row],[Total Cost]]</f>
        <v>300</v>
      </c>
      <c r="R197" s="17">
        <f>Bike_Sales[[#This Row],[Profit]]/Bike_Sales[[#This Row],[Total Sales]]</f>
        <v>0.35294117647058826</v>
      </c>
      <c r="S197" s="16" t="str">
        <f t="shared" si="3"/>
        <v>25-34</v>
      </c>
    </row>
    <row r="198" spans="1:19" x14ac:dyDescent="0.35">
      <c r="A198" s="2">
        <v>44547</v>
      </c>
      <c r="B198" s="2" t="str">
        <f>TEXT(Bike_Sales[[#This Row],[Date]],"mmmm")</f>
        <v>December</v>
      </c>
      <c r="C198" s="19">
        <f>MONTH(Bike_Sales[[#This Row],[Date]])</f>
        <v>12</v>
      </c>
      <c r="D198" s="2" t="str">
        <f>TEXT(Bike_Sales[[#This Row],[Date]],"dddd")</f>
        <v>Friday</v>
      </c>
      <c r="E198" s="3">
        <v>27</v>
      </c>
      <c r="F198" s="3" t="s">
        <v>126</v>
      </c>
      <c r="G198" s="3" t="s">
        <v>18</v>
      </c>
      <c r="H198" s="3" t="s">
        <v>19</v>
      </c>
      <c r="I198" s="3" t="s">
        <v>11</v>
      </c>
      <c r="J198" s="3" t="s">
        <v>101</v>
      </c>
      <c r="K198" s="3" t="s">
        <v>31</v>
      </c>
      <c r="L198" s="4">
        <v>4</v>
      </c>
      <c r="M198" s="3">
        <v>580</v>
      </c>
      <c r="N198" s="3">
        <v>920</v>
      </c>
      <c r="O198" s="15">
        <f>Bike_Sales[[#This Row],[Order_Quantity]]*Bike_Sales[[#This Row],[Unit_Price]]</f>
        <v>3680</v>
      </c>
      <c r="P198" s="15">
        <f>Bike_Sales[[#This Row],[Order_Quantity]]*Bike_Sales[[#This Row],[Unit_Cost]]</f>
        <v>2320</v>
      </c>
      <c r="Q198" s="15">
        <f>Bike_Sales[[#This Row],[Total Sales]]-Bike_Sales[[#This Row],[Total Cost]]</f>
        <v>1360</v>
      </c>
      <c r="R198" s="17">
        <f>Bike_Sales[[#This Row],[Profit]]/Bike_Sales[[#This Row],[Total Sales]]</f>
        <v>0.36956521739130432</v>
      </c>
      <c r="S198" s="16" t="str">
        <f t="shared" si="3"/>
        <v>25-34</v>
      </c>
    </row>
    <row r="199" spans="1:19" x14ac:dyDescent="0.35">
      <c r="A199" s="2">
        <v>44550</v>
      </c>
      <c r="B199" s="2" t="str">
        <f>TEXT(Bike_Sales[[#This Row],[Date]],"mmmm")</f>
        <v>December</v>
      </c>
      <c r="C199" s="19">
        <f>MONTH(Bike_Sales[[#This Row],[Date]])</f>
        <v>12</v>
      </c>
      <c r="D199" s="2" t="str">
        <f>TEXT(Bike_Sales[[#This Row],[Date]],"dddd")</f>
        <v>Monday</v>
      </c>
      <c r="E199" s="3">
        <v>27</v>
      </c>
      <c r="F199" s="3" t="s">
        <v>135</v>
      </c>
      <c r="G199" s="3" t="s">
        <v>13</v>
      </c>
      <c r="H199" s="3" t="s">
        <v>127</v>
      </c>
      <c r="I199" s="3" t="s">
        <v>11</v>
      </c>
      <c r="J199" s="3" t="s">
        <v>104</v>
      </c>
      <c r="K199" s="3" t="s">
        <v>34</v>
      </c>
      <c r="L199" s="4">
        <v>1</v>
      </c>
      <c r="M199" s="3">
        <v>500</v>
      </c>
      <c r="N199" s="3">
        <v>800</v>
      </c>
      <c r="O199" s="15">
        <f>Bike_Sales[[#This Row],[Order_Quantity]]*Bike_Sales[[#This Row],[Unit_Price]]</f>
        <v>800</v>
      </c>
      <c r="P199" s="15">
        <f>Bike_Sales[[#This Row],[Order_Quantity]]*Bike_Sales[[#This Row],[Unit_Cost]]</f>
        <v>500</v>
      </c>
      <c r="Q199" s="15">
        <f>Bike_Sales[[#This Row],[Total Sales]]-Bike_Sales[[#This Row],[Total Cost]]</f>
        <v>300</v>
      </c>
      <c r="R199" s="17">
        <f>Bike_Sales[[#This Row],[Profit]]/Bike_Sales[[#This Row],[Total Sales]]</f>
        <v>0.375</v>
      </c>
      <c r="S199" s="16" t="str">
        <f t="shared" si="3"/>
        <v>25-34</v>
      </c>
    </row>
    <row r="200" spans="1:19" x14ac:dyDescent="0.35">
      <c r="A200" s="2">
        <v>44551</v>
      </c>
      <c r="B200" s="2" t="str">
        <f>TEXT(Bike_Sales[[#This Row],[Date]],"mmmm")</f>
        <v>December</v>
      </c>
      <c r="C200" s="19">
        <f>MONTH(Bike_Sales[[#This Row],[Date]])</f>
        <v>12</v>
      </c>
      <c r="D200" s="2" t="str">
        <f>TEXT(Bike_Sales[[#This Row],[Date]],"dddd")</f>
        <v>Tuesday</v>
      </c>
      <c r="E200" s="3">
        <v>27</v>
      </c>
      <c r="F200" s="3" t="s">
        <v>135</v>
      </c>
      <c r="G200" s="3" t="s">
        <v>18</v>
      </c>
      <c r="H200" s="3" t="s">
        <v>19</v>
      </c>
      <c r="I200" s="3" t="s">
        <v>11</v>
      </c>
      <c r="J200" s="3" t="s">
        <v>102</v>
      </c>
      <c r="K200" s="3" t="s">
        <v>36</v>
      </c>
      <c r="L200" s="4">
        <v>1</v>
      </c>
      <c r="M200" s="3">
        <v>580</v>
      </c>
      <c r="N200" s="3">
        <v>920</v>
      </c>
      <c r="O200" s="15">
        <f>Bike_Sales[[#This Row],[Order_Quantity]]*Bike_Sales[[#This Row],[Unit_Price]]</f>
        <v>920</v>
      </c>
      <c r="P200" s="15">
        <f>Bike_Sales[[#This Row],[Order_Quantity]]*Bike_Sales[[#This Row],[Unit_Cost]]</f>
        <v>580</v>
      </c>
      <c r="Q200" s="15">
        <f>Bike_Sales[[#This Row],[Total Sales]]-Bike_Sales[[#This Row],[Total Cost]]</f>
        <v>340</v>
      </c>
      <c r="R200" s="17">
        <f>Bike_Sales[[#This Row],[Profit]]/Bike_Sales[[#This Row],[Total Sales]]</f>
        <v>0.36956521739130432</v>
      </c>
      <c r="S200" s="16" t="str">
        <f t="shared" si="3"/>
        <v>25-34</v>
      </c>
    </row>
    <row r="201" spans="1:19" x14ac:dyDescent="0.35">
      <c r="A201" s="2">
        <v>44552</v>
      </c>
      <c r="B201" s="2" t="str">
        <f>TEXT(Bike_Sales[[#This Row],[Date]],"mmmm")</f>
        <v>December</v>
      </c>
      <c r="C201" s="19">
        <f>MONTH(Bike_Sales[[#This Row],[Date]])</f>
        <v>12</v>
      </c>
      <c r="D201" s="2" t="str">
        <f>TEXT(Bike_Sales[[#This Row],[Date]],"dddd")</f>
        <v>Wednesday</v>
      </c>
      <c r="E201" s="3">
        <v>27</v>
      </c>
      <c r="F201" s="3" t="s">
        <v>135</v>
      </c>
      <c r="G201" s="3" t="s">
        <v>13</v>
      </c>
      <c r="H201" s="3" t="s">
        <v>127</v>
      </c>
      <c r="I201" s="3" t="s">
        <v>16</v>
      </c>
      <c r="J201" s="3" t="s">
        <v>101</v>
      </c>
      <c r="K201" s="3" t="s">
        <v>49</v>
      </c>
      <c r="L201" s="4">
        <v>1</v>
      </c>
      <c r="M201" s="3">
        <v>550</v>
      </c>
      <c r="N201" s="3">
        <v>850</v>
      </c>
      <c r="O201" s="15">
        <f>Bike_Sales[[#This Row],[Order_Quantity]]*Bike_Sales[[#This Row],[Unit_Price]]</f>
        <v>850</v>
      </c>
      <c r="P201" s="15">
        <f>Bike_Sales[[#This Row],[Order_Quantity]]*Bike_Sales[[#This Row],[Unit_Cost]]</f>
        <v>550</v>
      </c>
      <c r="Q201" s="15">
        <f>Bike_Sales[[#This Row],[Total Sales]]-Bike_Sales[[#This Row],[Total Cost]]</f>
        <v>300</v>
      </c>
      <c r="R201" s="17">
        <f>Bike_Sales[[#This Row],[Profit]]/Bike_Sales[[#This Row],[Total Sales]]</f>
        <v>0.35294117647058826</v>
      </c>
      <c r="S201" s="16" t="str">
        <f t="shared" si="3"/>
        <v>25-34</v>
      </c>
    </row>
    <row r="202" spans="1:19" x14ac:dyDescent="0.35">
      <c r="A202" s="2">
        <v>44554</v>
      </c>
      <c r="B202" s="2" t="str">
        <f>TEXT(Bike_Sales[[#This Row],[Date]],"mmmm")</f>
        <v>December</v>
      </c>
      <c r="C202" s="19">
        <f>MONTH(Bike_Sales[[#This Row],[Date]])</f>
        <v>12</v>
      </c>
      <c r="D202" s="2" t="str">
        <f>TEXT(Bike_Sales[[#This Row],[Date]],"dddd")</f>
        <v>Friday</v>
      </c>
      <c r="E202" s="3">
        <v>27</v>
      </c>
      <c r="F202" s="3" t="s">
        <v>126</v>
      </c>
      <c r="G202" s="3" t="s">
        <v>9</v>
      </c>
      <c r="H202" s="3" t="s">
        <v>10</v>
      </c>
      <c r="I202" s="3" t="s">
        <v>11</v>
      </c>
      <c r="J202" s="3" t="s">
        <v>104</v>
      </c>
      <c r="K202" s="3" t="s">
        <v>68</v>
      </c>
      <c r="L202" s="4">
        <v>1</v>
      </c>
      <c r="M202" s="3">
        <v>500</v>
      </c>
      <c r="N202" s="3">
        <v>800</v>
      </c>
      <c r="O202" s="15">
        <f>Bike_Sales[[#This Row],[Order_Quantity]]*Bike_Sales[[#This Row],[Unit_Price]]</f>
        <v>800</v>
      </c>
      <c r="P202" s="15">
        <f>Bike_Sales[[#This Row],[Order_Quantity]]*Bike_Sales[[#This Row],[Unit_Cost]]</f>
        <v>500</v>
      </c>
      <c r="Q202" s="15">
        <f>Bike_Sales[[#This Row],[Total Sales]]-Bike_Sales[[#This Row],[Total Cost]]</f>
        <v>300</v>
      </c>
      <c r="R202" s="17">
        <f>Bike_Sales[[#This Row],[Profit]]/Bike_Sales[[#This Row],[Total Sales]]</f>
        <v>0.375</v>
      </c>
      <c r="S202" s="16" t="str">
        <f t="shared" si="3"/>
        <v>25-34</v>
      </c>
    </row>
    <row r="203" spans="1:19" x14ac:dyDescent="0.35">
      <c r="A203" s="2">
        <v>44554</v>
      </c>
      <c r="B203" s="2" t="str">
        <f>TEXT(Bike_Sales[[#This Row],[Date]],"mmmm")</f>
        <v>December</v>
      </c>
      <c r="C203" s="19">
        <f>MONTH(Bike_Sales[[#This Row],[Date]])</f>
        <v>12</v>
      </c>
      <c r="D203" s="2" t="str">
        <f>TEXT(Bike_Sales[[#This Row],[Date]],"dddd")</f>
        <v>Friday</v>
      </c>
      <c r="E203" s="3">
        <v>27</v>
      </c>
      <c r="F203" s="3" t="s">
        <v>135</v>
      </c>
      <c r="G203" s="3" t="s">
        <v>39</v>
      </c>
      <c r="H203" s="3" t="s">
        <v>92</v>
      </c>
      <c r="I203" s="3" t="s">
        <v>11</v>
      </c>
      <c r="J203" s="3" t="s">
        <v>101</v>
      </c>
      <c r="K203" s="3" t="s">
        <v>44</v>
      </c>
      <c r="L203" s="4">
        <v>1</v>
      </c>
      <c r="M203" s="3">
        <v>700</v>
      </c>
      <c r="N203" s="3">
        <v>1100</v>
      </c>
      <c r="O203" s="15">
        <f>Bike_Sales[[#This Row],[Order_Quantity]]*Bike_Sales[[#This Row],[Unit_Price]]</f>
        <v>1100</v>
      </c>
      <c r="P203" s="15">
        <f>Bike_Sales[[#This Row],[Order_Quantity]]*Bike_Sales[[#This Row],[Unit_Cost]]</f>
        <v>700</v>
      </c>
      <c r="Q203" s="15">
        <f>Bike_Sales[[#This Row],[Total Sales]]-Bike_Sales[[#This Row],[Total Cost]]</f>
        <v>400</v>
      </c>
      <c r="R203" s="17">
        <f>Bike_Sales[[#This Row],[Profit]]/Bike_Sales[[#This Row],[Total Sales]]</f>
        <v>0.36363636363636365</v>
      </c>
      <c r="S203" s="16" t="str">
        <f t="shared" si="3"/>
        <v>25-34</v>
      </c>
    </row>
    <row r="204" spans="1:19" x14ac:dyDescent="0.35">
      <c r="A204" s="2">
        <v>44555</v>
      </c>
      <c r="B204" s="2" t="str">
        <f>TEXT(Bike_Sales[[#This Row],[Date]],"mmmm")</f>
        <v>December</v>
      </c>
      <c r="C204" s="19">
        <f>MONTH(Bike_Sales[[#This Row],[Date]])</f>
        <v>12</v>
      </c>
      <c r="D204" s="2" t="str">
        <f>TEXT(Bike_Sales[[#This Row],[Date]],"dddd")</f>
        <v>Saturday</v>
      </c>
      <c r="E204" s="3">
        <v>27</v>
      </c>
      <c r="F204" s="3" t="s">
        <v>135</v>
      </c>
      <c r="G204" s="3" t="s">
        <v>39</v>
      </c>
      <c r="H204" s="3" t="s">
        <v>92</v>
      </c>
      <c r="I204" s="3" t="s">
        <v>11</v>
      </c>
      <c r="J204" s="3" t="s">
        <v>101</v>
      </c>
      <c r="K204" s="3" t="s">
        <v>44</v>
      </c>
      <c r="L204" s="4">
        <v>1</v>
      </c>
      <c r="M204" s="3">
        <v>700</v>
      </c>
      <c r="N204" s="3">
        <v>1100</v>
      </c>
      <c r="O204" s="15">
        <f>Bike_Sales[[#This Row],[Order_Quantity]]*Bike_Sales[[#This Row],[Unit_Price]]</f>
        <v>1100</v>
      </c>
      <c r="P204" s="15">
        <f>Bike_Sales[[#This Row],[Order_Quantity]]*Bike_Sales[[#This Row],[Unit_Cost]]</f>
        <v>700</v>
      </c>
      <c r="Q204" s="15">
        <f>Bike_Sales[[#This Row],[Total Sales]]-Bike_Sales[[#This Row],[Total Cost]]</f>
        <v>400</v>
      </c>
      <c r="R204" s="17">
        <f>Bike_Sales[[#This Row],[Profit]]/Bike_Sales[[#This Row],[Total Sales]]</f>
        <v>0.36363636363636365</v>
      </c>
      <c r="S204" s="16" t="str">
        <f t="shared" si="3"/>
        <v>25-34</v>
      </c>
    </row>
    <row r="205" spans="1:19" x14ac:dyDescent="0.35">
      <c r="A205" s="2">
        <v>44470</v>
      </c>
      <c r="B205" s="2" t="str">
        <f>TEXT(Bike_Sales[[#This Row],[Date]],"mmmm")</f>
        <v>October</v>
      </c>
      <c r="C205" s="19">
        <f>MONTH(Bike_Sales[[#This Row],[Date]])</f>
        <v>10</v>
      </c>
      <c r="D205" s="2" t="str">
        <f>TEXT(Bike_Sales[[#This Row],[Date]],"dddd")</f>
        <v>Friday</v>
      </c>
      <c r="E205" s="3">
        <v>28</v>
      </c>
      <c r="F205" s="3" t="s">
        <v>126</v>
      </c>
      <c r="G205" s="3" t="s">
        <v>129</v>
      </c>
      <c r="H205" s="3" t="s">
        <v>15</v>
      </c>
      <c r="I205" s="3" t="s">
        <v>16</v>
      </c>
      <c r="J205" s="3" t="s">
        <v>101</v>
      </c>
      <c r="K205" s="3" t="s">
        <v>17</v>
      </c>
      <c r="L205" s="4">
        <v>2</v>
      </c>
      <c r="M205" s="3">
        <v>550</v>
      </c>
      <c r="N205" s="3">
        <v>850</v>
      </c>
      <c r="O205" s="15">
        <f>Bike_Sales[[#This Row],[Order_Quantity]]*Bike_Sales[[#This Row],[Unit_Price]]</f>
        <v>1700</v>
      </c>
      <c r="P205" s="15">
        <f>Bike_Sales[[#This Row],[Order_Quantity]]*Bike_Sales[[#This Row],[Unit_Cost]]</f>
        <v>1100</v>
      </c>
      <c r="Q205" s="15">
        <f>Bike_Sales[[#This Row],[Total Sales]]-Bike_Sales[[#This Row],[Total Cost]]</f>
        <v>600</v>
      </c>
      <c r="R205" s="17">
        <f>Bike_Sales[[#This Row],[Profit]]/Bike_Sales[[#This Row],[Total Sales]]</f>
        <v>0.35294117647058826</v>
      </c>
      <c r="S205" s="16" t="str">
        <f t="shared" si="3"/>
        <v>25-34</v>
      </c>
    </row>
    <row r="206" spans="1:19" x14ac:dyDescent="0.35">
      <c r="A206" s="2">
        <v>44470</v>
      </c>
      <c r="B206" s="2" t="str">
        <f>TEXT(Bike_Sales[[#This Row],[Date]],"mmmm")</f>
        <v>October</v>
      </c>
      <c r="C206" s="19">
        <f>MONTH(Bike_Sales[[#This Row],[Date]])</f>
        <v>10</v>
      </c>
      <c r="D206" s="2" t="str">
        <f>TEXT(Bike_Sales[[#This Row],[Date]],"dddd")</f>
        <v>Friday</v>
      </c>
      <c r="E206" s="3">
        <v>28</v>
      </c>
      <c r="F206" s="3" t="s">
        <v>126</v>
      </c>
      <c r="G206" s="3" t="s">
        <v>18</v>
      </c>
      <c r="H206" s="3" t="s">
        <v>21</v>
      </c>
      <c r="I206" s="3" t="s">
        <v>16</v>
      </c>
      <c r="J206" s="3" t="s">
        <v>103</v>
      </c>
      <c r="K206" s="3" t="s">
        <v>22</v>
      </c>
      <c r="L206" s="4">
        <v>1</v>
      </c>
      <c r="M206" s="3">
        <v>550</v>
      </c>
      <c r="N206" s="3">
        <v>850</v>
      </c>
      <c r="O206" s="15">
        <f>Bike_Sales[[#This Row],[Order_Quantity]]*Bike_Sales[[#This Row],[Unit_Price]]</f>
        <v>850</v>
      </c>
      <c r="P206" s="15">
        <f>Bike_Sales[[#This Row],[Order_Quantity]]*Bike_Sales[[#This Row],[Unit_Cost]]</f>
        <v>550</v>
      </c>
      <c r="Q206" s="15">
        <f>Bike_Sales[[#This Row],[Total Sales]]-Bike_Sales[[#This Row],[Total Cost]]</f>
        <v>300</v>
      </c>
      <c r="R206" s="17">
        <f>Bike_Sales[[#This Row],[Profit]]/Bike_Sales[[#This Row],[Total Sales]]</f>
        <v>0.35294117647058826</v>
      </c>
      <c r="S206" s="16" t="str">
        <f t="shared" si="3"/>
        <v>25-34</v>
      </c>
    </row>
    <row r="207" spans="1:19" x14ac:dyDescent="0.35">
      <c r="A207" s="2">
        <v>44471</v>
      </c>
      <c r="B207" s="2" t="str">
        <f>TEXT(Bike_Sales[[#This Row],[Date]],"mmmm")</f>
        <v>October</v>
      </c>
      <c r="C207" s="19">
        <f>MONTH(Bike_Sales[[#This Row],[Date]])</f>
        <v>10</v>
      </c>
      <c r="D207" s="2" t="str">
        <f>TEXT(Bike_Sales[[#This Row],[Date]],"dddd")</f>
        <v>Saturday</v>
      </c>
      <c r="E207" s="3">
        <v>28</v>
      </c>
      <c r="F207" s="3" t="s">
        <v>135</v>
      </c>
      <c r="G207" s="3" t="s">
        <v>18</v>
      </c>
      <c r="H207" s="3" t="s">
        <v>24</v>
      </c>
      <c r="I207" s="3" t="s">
        <v>16</v>
      </c>
      <c r="J207" s="3" t="s">
        <v>101</v>
      </c>
      <c r="K207" s="3" t="s">
        <v>17</v>
      </c>
      <c r="L207" s="4">
        <v>3</v>
      </c>
      <c r="M207" s="3">
        <v>550</v>
      </c>
      <c r="N207" s="3">
        <v>850</v>
      </c>
      <c r="O207" s="15">
        <f>Bike_Sales[[#This Row],[Order_Quantity]]*Bike_Sales[[#This Row],[Unit_Price]]</f>
        <v>2550</v>
      </c>
      <c r="P207" s="15">
        <f>Bike_Sales[[#This Row],[Order_Quantity]]*Bike_Sales[[#This Row],[Unit_Cost]]</f>
        <v>1650</v>
      </c>
      <c r="Q207" s="15">
        <f>Bike_Sales[[#This Row],[Total Sales]]-Bike_Sales[[#This Row],[Total Cost]]</f>
        <v>900</v>
      </c>
      <c r="R207" s="17">
        <f>Bike_Sales[[#This Row],[Profit]]/Bike_Sales[[#This Row],[Total Sales]]</f>
        <v>0.35294117647058826</v>
      </c>
      <c r="S207" s="16" t="str">
        <f t="shared" si="3"/>
        <v>25-34</v>
      </c>
    </row>
    <row r="208" spans="1:19" x14ac:dyDescent="0.35">
      <c r="A208" s="2">
        <v>44471</v>
      </c>
      <c r="B208" s="2" t="str">
        <f>TEXT(Bike_Sales[[#This Row],[Date]],"mmmm")</f>
        <v>October</v>
      </c>
      <c r="C208" s="19">
        <f>MONTH(Bike_Sales[[#This Row],[Date]])</f>
        <v>10</v>
      </c>
      <c r="D208" s="2" t="str">
        <f>TEXT(Bike_Sales[[#This Row],[Date]],"dddd")</f>
        <v>Saturday</v>
      </c>
      <c r="E208" s="3">
        <v>28</v>
      </c>
      <c r="F208" s="3" t="s">
        <v>135</v>
      </c>
      <c r="G208" s="3" t="s">
        <v>18</v>
      </c>
      <c r="H208" s="3" t="s">
        <v>24</v>
      </c>
      <c r="I208" s="3" t="s">
        <v>16</v>
      </c>
      <c r="J208" s="3" t="s">
        <v>101</v>
      </c>
      <c r="K208" s="3" t="s">
        <v>17</v>
      </c>
      <c r="L208" s="4">
        <v>2</v>
      </c>
      <c r="M208" s="3">
        <v>550</v>
      </c>
      <c r="N208" s="3">
        <v>850</v>
      </c>
      <c r="O208" s="15">
        <f>Bike_Sales[[#This Row],[Order_Quantity]]*Bike_Sales[[#This Row],[Unit_Price]]</f>
        <v>1700</v>
      </c>
      <c r="P208" s="15">
        <f>Bike_Sales[[#This Row],[Order_Quantity]]*Bike_Sales[[#This Row],[Unit_Cost]]</f>
        <v>1100</v>
      </c>
      <c r="Q208" s="15">
        <f>Bike_Sales[[#This Row],[Total Sales]]-Bike_Sales[[#This Row],[Total Cost]]</f>
        <v>600</v>
      </c>
      <c r="R208" s="17">
        <f>Bike_Sales[[#This Row],[Profit]]/Bike_Sales[[#This Row],[Total Sales]]</f>
        <v>0.35294117647058826</v>
      </c>
      <c r="S208" s="16" t="str">
        <f t="shared" si="3"/>
        <v>25-34</v>
      </c>
    </row>
    <row r="209" spans="1:19" x14ac:dyDescent="0.35">
      <c r="A209" s="2">
        <v>44477</v>
      </c>
      <c r="B209" s="2" t="str">
        <f>TEXT(Bike_Sales[[#This Row],[Date]],"mmmm")</f>
        <v>October</v>
      </c>
      <c r="C209" s="19">
        <f>MONTH(Bike_Sales[[#This Row],[Date]])</f>
        <v>10</v>
      </c>
      <c r="D209" s="2" t="str">
        <f>TEXT(Bike_Sales[[#This Row],[Date]],"dddd")</f>
        <v>Friday</v>
      </c>
      <c r="E209" s="3">
        <v>28</v>
      </c>
      <c r="F209" s="3" t="s">
        <v>135</v>
      </c>
      <c r="G209" s="3" t="s">
        <v>129</v>
      </c>
      <c r="H209" s="3" t="s">
        <v>15</v>
      </c>
      <c r="I209" s="3" t="s">
        <v>16</v>
      </c>
      <c r="J209" s="3" t="s">
        <v>101</v>
      </c>
      <c r="K209" s="3" t="s">
        <v>49</v>
      </c>
      <c r="L209" s="4">
        <v>1</v>
      </c>
      <c r="M209" s="3">
        <v>550</v>
      </c>
      <c r="N209" s="3">
        <v>850</v>
      </c>
      <c r="O209" s="15">
        <f>Bike_Sales[[#This Row],[Order_Quantity]]*Bike_Sales[[#This Row],[Unit_Price]]</f>
        <v>850</v>
      </c>
      <c r="P209" s="15">
        <f>Bike_Sales[[#This Row],[Order_Quantity]]*Bike_Sales[[#This Row],[Unit_Cost]]</f>
        <v>550</v>
      </c>
      <c r="Q209" s="15">
        <f>Bike_Sales[[#This Row],[Total Sales]]-Bike_Sales[[#This Row],[Total Cost]]</f>
        <v>300</v>
      </c>
      <c r="R209" s="17">
        <f>Bike_Sales[[#This Row],[Profit]]/Bike_Sales[[#This Row],[Total Sales]]</f>
        <v>0.35294117647058826</v>
      </c>
      <c r="S209" s="16" t="str">
        <f t="shared" si="3"/>
        <v>25-34</v>
      </c>
    </row>
    <row r="210" spans="1:19" x14ac:dyDescent="0.35">
      <c r="A210" s="2">
        <v>44480</v>
      </c>
      <c r="B210" s="2" t="str">
        <f>TEXT(Bike_Sales[[#This Row],[Date]],"mmmm")</f>
        <v>October</v>
      </c>
      <c r="C210" s="19">
        <f>MONTH(Bike_Sales[[#This Row],[Date]])</f>
        <v>10</v>
      </c>
      <c r="D210" s="2" t="str">
        <f>TEXT(Bike_Sales[[#This Row],[Date]],"dddd")</f>
        <v>Monday</v>
      </c>
      <c r="E210" s="3">
        <v>28</v>
      </c>
      <c r="F210" s="3" t="s">
        <v>126</v>
      </c>
      <c r="G210" s="3" t="s">
        <v>18</v>
      </c>
      <c r="H210" s="3" t="s">
        <v>63</v>
      </c>
      <c r="I210" s="3" t="s">
        <v>16</v>
      </c>
      <c r="J210" s="3" t="s">
        <v>101</v>
      </c>
      <c r="K210" s="3" t="s">
        <v>25</v>
      </c>
      <c r="L210" s="4">
        <v>1</v>
      </c>
      <c r="M210" s="3">
        <v>550</v>
      </c>
      <c r="N210" s="3">
        <v>850</v>
      </c>
      <c r="O210" s="15">
        <f>Bike_Sales[[#This Row],[Order_Quantity]]*Bike_Sales[[#This Row],[Unit_Price]]</f>
        <v>850</v>
      </c>
      <c r="P210" s="15">
        <f>Bike_Sales[[#This Row],[Order_Quantity]]*Bike_Sales[[#This Row],[Unit_Cost]]</f>
        <v>550</v>
      </c>
      <c r="Q210" s="15">
        <f>Bike_Sales[[#This Row],[Total Sales]]-Bike_Sales[[#This Row],[Total Cost]]</f>
        <v>300</v>
      </c>
      <c r="R210" s="17">
        <f>Bike_Sales[[#This Row],[Profit]]/Bike_Sales[[#This Row],[Total Sales]]</f>
        <v>0.35294117647058826</v>
      </c>
      <c r="S210" s="16" t="str">
        <f t="shared" si="3"/>
        <v>25-34</v>
      </c>
    </row>
    <row r="211" spans="1:19" x14ac:dyDescent="0.35">
      <c r="A211" s="2">
        <v>44483</v>
      </c>
      <c r="B211" s="2" t="str">
        <f>TEXT(Bike_Sales[[#This Row],[Date]],"mmmm")</f>
        <v>October</v>
      </c>
      <c r="C211" s="19">
        <f>MONTH(Bike_Sales[[#This Row],[Date]])</f>
        <v>10</v>
      </c>
      <c r="D211" s="2" t="str">
        <f>TEXT(Bike_Sales[[#This Row],[Date]],"dddd")</f>
        <v>Thursday</v>
      </c>
      <c r="E211" s="3">
        <v>28</v>
      </c>
      <c r="F211" s="3" t="s">
        <v>126</v>
      </c>
      <c r="G211" s="3" t="s">
        <v>18</v>
      </c>
      <c r="H211" s="3" t="s">
        <v>19</v>
      </c>
      <c r="I211" s="3" t="s">
        <v>16</v>
      </c>
      <c r="J211" s="3" t="s">
        <v>103</v>
      </c>
      <c r="K211" s="3" t="s">
        <v>45</v>
      </c>
      <c r="L211" s="4">
        <v>1</v>
      </c>
      <c r="M211" s="3">
        <v>550</v>
      </c>
      <c r="N211" s="3">
        <v>850</v>
      </c>
      <c r="O211" s="15">
        <f>Bike_Sales[[#This Row],[Order_Quantity]]*Bike_Sales[[#This Row],[Unit_Price]]</f>
        <v>850</v>
      </c>
      <c r="P211" s="15">
        <f>Bike_Sales[[#This Row],[Order_Quantity]]*Bike_Sales[[#This Row],[Unit_Cost]]</f>
        <v>550</v>
      </c>
      <c r="Q211" s="15">
        <f>Bike_Sales[[#This Row],[Total Sales]]-Bike_Sales[[#This Row],[Total Cost]]</f>
        <v>300</v>
      </c>
      <c r="R211" s="17">
        <f>Bike_Sales[[#This Row],[Profit]]/Bike_Sales[[#This Row],[Total Sales]]</f>
        <v>0.35294117647058826</v>
      </c>
      <c r="S211" s="16" t="str">
        <f t="shared" si="3"/>
        <v>25-34</v>
      </c>
    </row>
    <row r="212" spans="1:19" x14ac:dyDescent="0.35">
      <c r="A212" s="2">
        <v>44485</v>
      </c>
      <c r="B212" s="2" t="str">
        <f>TEXT(Bike_Sales[[#This Row],[Date]],"mmmm")</f>
        <v>October</v>
      </c>
      <c r="C212" s="19">
        <f>MONTH(Bike_Sales[[#This Row],[Date]])</f>
        <v>10</v>
      </c>
      <c r="D212" s="2" t="str">
        <f>TEXT(Bike_Sales[[#This Row],[Date]],"dddd")</f>
        <v>Saturday</v>
      </c>
      <c r="E212" s="3">
        <v>28</v>
      </c>
      <c r="F212" s="3" t="s">
        <v>135</v>
      </c>
      <c r="G212" s="3" t="s">
        <v>129</v>
      </c>
      <c r="H212" s="3" t="s">
        <v>15</v>
      </c>
      <c r="I212" s="3" t="s">
        <v>16</v>
      </c>
      <c r="J212" s="3" t="s">
        <v>101</v>
      </c>
      <c r="K212" s="3" t="s">
        <v>49</v>
      </c>
      <c r="L212" s="4">
        <v>1</v>
      </c>
      <c r="M212" s="3">
        <v>550</v>
      </c>
      <c r="N212" s="3">
        <v>850</v>
      </c>
      <c r="O212" s="15">
        <f>Bike_Sales[[#This Row],[Order_Quantity]]*Bike_Sales[[#This Row],[Unit_Price]]</f>
        <v>850</v>
      </c>
      <c r="P212" s="15">
        <f>Bike_Sales[[#This Row],[Order_Quantity]]*Bike_Sales[[#This Row],[Unit_Cost]]</f>
        <v>550</v>
      </c>
      <c r="Q212" s="15">
        <f>Bike_Sales[[#This Row],[Total Sales]]-Bike_Sales[[#This Row],[Total Cost]]</f>
        <v>300</v>
      </c>
      <c r="R212" s="17">
        <f>Bike_Sales[[#This Row],[Profit]]/Bike_Sales[[#This Row],[Total Sales]]</f>
        <v>0.35294117647058826</v>
      </c>
      <c r="S212" s="16" t="str">
        <f t="shared" si="3"/>
        <v>25-34</v>
      </c>
    </row>
    <row r="213" spans="1:19" x14ac:dyDescent="0.35">
      <c r="A213" s="2">
        <v>44487</v>
      </c>
      <c r="B213" s="2" t="str">
        <f>TEXT(Bike_Sales[[#This Row],[Date]],"mmmm")</f>
        <v>October</v>
      </c>
      <c r="C213" s="19">
        <f>MONTH(Bike_Sales[[#This Row],[Date]])</f>
        <v>10</v>
      </c>
      <c r="D213" s="2" t="str">
        <f>TEXT(Bike_Sales[[#This Row],[Date]],"dddd")</f>
        <v>Monday</v>
      </c>
      <c r="E213" s="3">
        <v>28</v>
      </c>
      <c r="F213" s="3" t="s">
        <v>135</v>
      </c>
      <c r="G213" s="3" t="s">
        <v>18</v>
      </c>
      <c r="H213" s="3" t="s">
        <v>35</v>
      </c>
      <c r="I213" s="3" t="s">
        <v>16</v>
      </c>
      <c r="J213" s="3" t="s">
        <v>101</v>
      </c>
      <c r="K213" s="3" t="s">
        <v>25</v>
      </c>
      <c r="L213" s="4">
        <v>1</v>
      </c>
      <c r="M213" s="3">
        <v>550</v>
      </c>
      <c r="N213" s="3">
        <v>850</v>
      </c>
      <c r="O213" s="15">
        <f>Bike_Sales[[#This Row],[Order_Quantity]]*Bike_Sales[[#This Row],[Unit_Price]]</f>
        <v>850</v>
      </c>
      <c r="P213" s="15">
        <f>Bike_Sales[[#This Row],[Order_Quantity]]*Bike_Sales[[#This Row],[Unit_Cost]]</f>
        <v>550</v>
      </c>
      <c r="Q213" s="15">
        <f>Bike_Sales[[#This Row],[Total Sales]]-Bike_Sales[[#This Row],[Total Cost]]</f>
        <v>300</v>
      </c>
      <c r="R213" s="17">
        <f>Bike_Sales[[#This Row],[Profit]]/Bike_Sales[[#This Row],[Total Sales]]</f>
        <v>0.35294117647058826</v>
      </c>
      <c r="S213" s="16" t="str">
        <f t="shared" si="3"/>
        <v>25-34</v>
      </c>
    </row>
    <row r="214" spans="1:19" x14ac:dyDescent="0.35">
      <c r="A214" s="2">
        <v>44487</v>
      </c>
      <c r="B214" s="2" t="str">
        <f>TEXT(Bike_Sales[[#This Row],[Date]],"mmmm")</f>
        <v>October</v>
      </c>
      <c r="C214" s="19">
        <f>MONTH(Bike_Sales[[#This Row],[Date]])</f>
        <v>10</v>
      </c>
      <c r="D214" s="2" t="str">
        <f>TEXT(Bike_Sales[[#This Row],[Date]],"dddd")</f>
        <v>Monday</v>
      </c>
      <c r="E214" s="3">
        <v>28</v>
      </c>
      <c r="F214" s="3" t="s">
        <v>126</v>
      </c>
      <c r="G214" s="3" t="s">
        <v>9</v>
      </c>
      <c r="H214" s="3" t="s">
        <v>10</v>
      </c>
      <c r="I214" s="3" t="s">
        <v>16</v>
      </c>
      <c r="J214" s="3" t="s">
        <v>101</v>
      </c>
      <c r="K214" s="3" t="s">
        <v>17</v>
      </c>
      <c r="L214" s="4">
        <v>1</v>
      </c>
      <c r="M214" s="3">
        <v>550</v>
      </c>
      <c r="N214" s="3">
        <v>850</v>
      </c>
      <c r="O214" s="15">
        <f>Bike_Sales[[#This Row],[Order_Quantity]]*Bike_Sales[[#This Row],[Unit_Price]]</f>
        <v>850</v>
      </c>
      <c r="P214" s="15">
        <f>Bike_Sales[[#This Row],[Order_Quantity]]*Bike_Sales[[#This Row],[Unit_Cost]]</f>
        <v>550</v>
      </c>
      <c r="Q214" s="15">
        <f>Bike_Sales[[#This Row],[Total Sales]]-Bike_Sales[[#This Row],[Total Cost]]</f>
        <v>300</v>
      </c>
      <c r="R214" s="17">
        <f>Bike_Sales[[#This Row],[Profit]]/Bike_Sales[[#This Row],[Total Sales]]</f>
        <v>0.35294117647058826</v>
      </c>
      <c r="S214" s="16" t="str">
        <f t="shared" si="3"/>
        <v>25-34</v>
      </c>
    </row>
    <row r="215" spans="1:19" x14ac:dyDescent="0.35">
      <c r="A215" s="2">
        <v>44488</v>
      </c>
      <c r="B215" s="2" t="str">
        <f>TEXT(Bike_Sales[[#This Row],[Date]],"mmmm")</f>
        <v>October</v>
      </c>
      <c r="C215" s="19">
        <f>MONTH(Bike_Sales[[#This Row],[Date]])</f>
        <v>10</v>
      </c>
      <c r="D215" s="2" t="str">
        <f>TEXT(Bike_Sales[[#This Row],[Date]],"dddd")</f>
        <v>Tuesday</v>
      </c>
      <c r="E215" s="3">
        <v>28</v>
      </c>
      <c r="F215" s="3" t="s">
        <v>135</v>
      </c>
      <c r="G215" s="3" t="s">
        <v>18</v>
      </c>
      <c r="H215" s="3" t="s">
        <v>19</v>
      </c>
      <c r="I215" s="3" t="s">
        <v>16</v>
      </c>
      <c r="J215" s="3" t="s">
        <v>101</v>
      </c>
      <c r="K215" s="3" t="s">
        <v>17</v>
      </c>
      <c r="L215" s="4">
        <v>3</v>
      </c>
      <c r="M215" s="3">
        <v>550</v>
      </c>
      <c r="N215" s="3">
        <v>850</v>
      </c>
      <c r="O215" s="15">
        <f>Bike_Sales[[#This Row],[Order_Quantity]]*Bike_Sales[[#This Row],[Unit_Price]]</f>
        <v>2550</v>
      </c>
      <c r="P215" s="15">
        <f>Bike_Sales[[#This Row],[Order_Quantity]]*Bike_Sales[[#This Row],[Unit_Cost]]</f>
        <v>1650</v>
      </c>
      <c r="Q215" s="15">
        <f>Bike_Sales[[#This Row],[Total Sales]]-Bike_Sales[[#This Row],[Total Cost]]</f>
        <v>900</v>
      </c>
      <c r="R215" s="17">
        <f>Bike_Sales[[#This Row],[Profit]]/Bike_Sales[[#This Row],[Total Sales]]</f>
        <v>0.35294117647058826</v>
      </c>
      <c r="S215" s="16" t="str">
        <f t="shared" si="3"/>
        <v>25-34</v>
      </c>
    </row>
    <row r="216" spans="1:19" x14ac:dyDescent="0.35">
      <c r="A216" s="2">
        <v>44490</v>
      </c>
      <c r="B216" s="2" t="str">
        <f>TEXT(Bike_Sales[[#This Row],[Date]],"mmmm")</f>
        <v>October</v>
      </c>
      <c r="C216" s="19">
        <f>MONTH(Bike_Sales[[#This Row],[Date]])</f>
        <v>10</v>
      </c>
      <c r="D216" s="2" t="str">
        <f>TEXT(Bike_Sales[[#This Row],[Date]],"dddd")</f>
        <v>Thursday</v>
      </c>
      <c r="E216" s="3">
        <v>28</v>
      </c>
      <c r="F216" s="3" t="s">
        <v>126</v>
      </c>
      <c r="G216" s="3" t="s">
        <v>39</v>
      </c>
      <c r="H216" s="3" t="s">
        <v>80</v>
      </c>
      <c r="I216" s="3" t="s">
        <v>16</v>
      </c>
      <c r="J216" s="3" t="s">
        <v>103</v>
      </c>
      <c r="K216" s="3" t="s">
        <v>78</v>
      </c>
      <c r="L216" s="4">
        <v>4</v>
      </c>
      <c r="M216" s="3">
        <v>450</v>
      </c>
      <c r="N216" s="3">
        <v>720</v>
      </c>
      <c r="O216" s="15">
        <f>Bike_Sales[[#This Row],[Order_Quantity]]*Bike_Sales[[#This Row],[Unit_Price]]</f>
        <v>2880</v>
      </c>
      <c r="P216" s="15">
        <f>Bike_Sales[[#This Row],[Order_Quantity]]*Bike_Sales[[#This Row],[Unit_Cost]]</f>
        <v>1800</v>
      </c>
      <c r="Q216" s="15">
        <f>Bike_Sales[[#This Row],[Total Sales]]-Bike_Sales[[#This Row],[Total Cost]]</f>
        <v>1080</v>
      </c>
      <c r="R216" s="17">
        <f>Bike_Sales[[#This Row],[Profit]]/Bike_Sales[[#This Row],[Total Sales]]</f>
        <v>0.375</v>
      </c>
      <c r="S216" s="16" t="str">
        <f t="shared" si="3"/>
        <v>25-34</v>
      </c>
    </row>
    <row r="217" spans="1:19" x14ac:dyDescent="0.35">
      <c r="A217" s="2">
        <v>44494</v>
      </c>
      <c r="B217" s="2" t="str">
        <f>TEXT(Bike_Sales[[#This Row],[Date]],"mmmm")</f>
        <v>October</v>
      </c>
      <c r="C217" s="19">
        <f>MONTH(Bike_Sales[[#This Row],[Date]])</f>
        <v>10</v>
      </c>
      <c r="D217" s="2" t="str">
        <f>TEXT(Bike_Sales[[#This Row],[Date]],"dddd")</f>
        <v>Monday</v>
      </c>
      <c r="E217" s="3">
        <v>28</v>
      </c>
      <c r="F217" s="3" t="s">
        <v>126</v>
      </c>
      <c r="G217" s="3" t="s">
        <v>18</v>
      </c>
      <c r="H217" s="3" t="s">
        <v>35</v>
      </c>
      <c r="I217" s="3" t="s">
        <v>16</v>
      </c>
      <c r="J217" s="3" t="s">
        <v>101</v>
      </c>
      <c r="K217" s="3" t="s">
        <v>17</v>
      </c>
      <c r="L217" s="4">
        <v>4</v>
      </c>
      <c r="M217" s="3">
        <v>550</v>
      </c>
      <c r="N217" s="3">
        <v>850</v>
      </c>
      <c r="O217" s="15">
        <f>Bike_Sales[[#This Row],[Order_Quantity]]*Bike_Sales[[#This Row],[Unit_Price]]</f>
        <v>3400</v>
      </c>
      <c r="P217" s="15">
        <f>Bike_Sales[[#This Row],[Order_Quantity]]*Bike_Sales[[#This Row],[Unit_Cost]]</f>
        <v>2200</v>
      </c>
      <c r="Q217" s="15">
        <f>Bike_Sales[[#This Row],[Total Sales]]-Bike_Sales[[#This Row],[Total Cost]]</f>
        <v>1200</v>
      </c>
      <c r="R217" s="17">
        <f>Bike_Sales[[#This Row],[Profit]]/Bike_Sales[[#This Row],[Total Sales]]</f>
        <v>0.35294117647058826</v>
      </c>
      <c r="S217" s="16" t="str">
        <f t="shared" si="3"/>
        <v>25-34</v>
      </c>
    </row>
    <row r="218" spans="1:19" x14ac:dyDescent="0.35">
      <c r="A218" s="2">
        <v>44503</v>
      </c>
      <c r="B218" s="2" t="str">
        <f>TEXT(Bike_Sales[[#This Row],[Date]],"mmmm")</f>
        <v>November</v>
      </c>
      <c r="C218" s="19">
        <f>MONTH(Bike_Sales[[#This Row],[Date]])</f>
        <v>11</v>
      </c>
      <c r="D218" s="2" t="str">
        <f>TEXT(Bike_Sales[[#This Row],[Date]],"dddd")</f>
        <v>Wednesday</v>
      </c>
      <c r="E218" s="3">
        <v>28</v>
      </c>
      <c r="F218" s="3" t="s">
        <v>126</v>
      </c>
      <c r="G218" s="3" t="s">
        <v>129</v>
      </c>
      <c r="H218" s="3" t="s">
        <v>15</v>
      </c>
      <c r="I218" s="3" t="s">
        <v>11</v>
      </c>
      <c r="J218" s="3" t="s">
        <v>102</v>
      </c>
      <c r="K218" s="3" t="s">
        <v>47</v>
      </c>
      <c r="L218" s="4">
        <v>4</v>
      </c>
      <c r="M218" s="3">
        <v>900</v>
      </c>
      <c r="N218" s="3">
        <v>1400</v>
      </c>
      <c r="O218" s="15">
        <f>Bike_Sales[[#This Row],[Order_Quantity]]*Bike_Sales[[#This Row],[Unit_Price]]</f>
        <v>5600</v>
      </c>
      <c r="P218" s="15">
        <f>Bike_Sales[[#This Row],[Order_Quantity]]*Bike_Sales[[#This Row],[Unit_Cost]]</f>
        <v>3600</v>
      </c>
      <c r="Q218" s="15">
        <f>Bike_Sales[[#This Row],[Total Sales]]-Bike_Sales[[#This Row],[Total Cost]]</f>
        <v>2000</v>
      </c>
      <c r="R218" s="17">
        <f>Bike_Sales[[#This Row],[Profit]]/Bike_Sales[[#This Row],[Total Sales]]</f>
        <v>0.35714285714285715</v>
      </c>
      <c r="S218" s="16" t="str">
        <f t="shared" si="3"/>
        <v>25-34</v>
      </c>
    </row>
    <row r="219" spans="1:19" x14ac:dyDescent="0.35">
      <c r="A219" s="2">
        <v>44513</v>
      </c>
      <c r="B219" s="2" t="str">
        <f>TEXT(Bike_Sales[[#This Row],[Date]],"mmmm")</f>
        <v>November</v>
      </c>
      <c r="C219" s="19">
        <f>MONTH(Bike_Sales[[#This Row],[Date]])</f>
        <v>11</v>
      </c>
      <c r="D219" s="2" t="str">
        <f>TEXT(Bike_Sales[[#This Row],[Date]],"dddd")</f>
        <v>Saturday</v>
      </c>
      <c r="E219" s="3">
        <v>28</v>
      </c>
      <c r="F219" s="3" t="s">
        <v>126</v>
      </c>
      <c r="G219" s="3" t="s">
        <v>18</v>
      </c>
      <c r="H219" s="3" t="s">
        <v>63</v>
      </c>
      <c r="I219" s="3" t="s">
        <v>11</v>
      </c>
      <c r="J219" s="3" t="s">
        <v>101</v>
      </c>
      <c r="K219" s="3" t="s">
        <v>46</v>
      </c>
      <c r="L219" s="4">
        <v>4</v>
      </c>
      <c r="M219" s="3">
        <v>580</v>
      </c>
      <c r="N219" s="3">
        <v>920</v>
      </c>
      <c r="O219" s="15">
        <f>Bike_Sales[[#This Row],[Order_Quantity]]*Bike_Sales[[#This Row],[Unit_Price]]</f>
        <v>3680</v>
      </c>
      <c r="P219" s="15">
        <f>Bike_Sales[[#This Row],[Order_Quantity]]*Bike_Sales[[#This Row],[Unit_Cost]]</f>
        <v>2320</v>
      </c>
      <c r="Q219" s="15">
        <f>Bike_Sales[[#This Row],[Total Sales]]-Bike_Sales[[#This Row],[Total Cost]]</f>
        <v>1360</v>
      </c>
      <c r="R219" s="17">
        <f>Bike_Sales[[#This Row],[Profit]]/Bike_Sales[[#This Row],[Total Sales]]</f>
        <v>0.36956521739130432</v>
      </c>
      <c r="S219" s="16" t="str">
        <f t="shared" si="3"/>
        <v>25-34</v>
      </c>
    </row>
    <row r="220" spans="1:19" x14ac:dyDescent="0.35">
      <c r="A220" s="2">
        <v>44517</v>
      </c>
      <c r="B220" s="2" t="str">
        <f>TEXT(Bike_Sales[[#This Row],[Date]],"mmmm")</f>
        <v>November</v>
      </c>
      <c r="C220" s="19">
        <f>MONTH(Bike_Sales[[#This Row],[Date]])</f>
        <v>11</v>
      </c>
      <c r="D220" s="2" t="str">
        <f>TEXT(Bike_Sales[[#This Row],[Date]],"dddd")</f>
        <v>Wednesday</v>
      </c>
      <c r="E220" s="3">
        <v>28</v>
      </c>
      <c r="F220" s="3" t="s">
        <v>126</v>
      </c>
      <c r="G220" s="3" t="s">
        <v>129</v>
      </c>
      <c r="H220" s="3" t="s">
        <v>15</v>
      </c>
      <c r="I220" s="3" t="s">
        <v>11</v>
      </c>
      <c r="J220" s="3" t="s">
        <v>102</v>
      </c>
      <c r="K220" s="3" t="s">
        <v>47</v>
      </c>
      <c r="L220" s="4">
        <v>2</v>
      </c>
      <c r="M220" s="3">
        <v>900</v>
      </c>
      <c r="N220" s="3">
        <v>1400</v>
      </c>
      <c r="O220" s="15">
        <f>Bike_Sales[[#This Row],[Order_Quantity]]*Bike_Sales[[#This Row],[Unit_Price]]</f>
        <v>2800</v>
      </c>
      <c r="P220" s="15">
        <f>Bike_Sales[[#This Row],[Order_Quantity]]*Bike_Sales[[#This Row],[Unit_Cost]]</f>
        <v>1800</v>
      </c>
      <c r="Q220" s="15">
        <f>Bike_Sales[[#This Row],[Total Sales]]-Bike_Sales[[#This Row],[Total Cost]]</f>
        <v>1000</v>
      </c>
      <c r="R220" s="17">
        <f>Bike_Sales[[#This Row],[Profit]]/Bike_Sales[[#This Row],[Total Sales]]</f>
        <v>0.35714285714285715</v>
      </c>
      <c r="S220" s="16" t="str">
        <f t="shared" si="3"/>
        <v>25-34</v>
      </c>
    </row>
    <row r="221" spans="1:19" x14ac:dyDescent="0.35">
      <c r="A221" s="2">
        <v>44517</v>
      </c>
      <c r="B221" s="2" t="str">
        <f>TEXT(Bike_Sales[[#This Row],[Date]],"mmmm")</f>
        <v>November</v>
      </c>
      <c r="C221" s="19">
        <f>MONTH(Bike_Sales[[#This Row],[Date]])</f>
        <v>11</v>
      </c>
      <c r="D221" s="2" t="str">
        <f>TEXT(Bike_Sales[[#This Row],[Date]],"dddd")</f>
        <v>Wednesday</v>
      </c>
      <c r="E221" s="3">
        <v>28</v>
      </c>
      <c r="F221" s="3" t="s">
        <v>126</v>
      </c>
      <c r="G221" s="3" t="s">
        <v>129</v>
      </c>
      <c r="H221" s="3" t="s">
        <v>15</v>
      </c>
      <c r="I221" s="3" t="s">
        <v>16</v>
      </c>
      <c r="J221" s="3" t="s">
        <v>101</v>
      </c>
      <c r="K221" s="3" t="s">
        <v>17</v>
      </c>
      <c r="L221" s="4">
        <v>1</v>
      </c>
      <c r="M221" s="3">
        <v>550</v>
      </c>
      <c r="N221" s="3">
        <v>850</v>
      </c>
      <c r="O221" s="15">
        <f>Bike_Sales[[#This Row],[Order_Quantity]]*Bike_Sales[[#This Row],[Unit_Price]]</f>
        <v>850</v>
      </c>
      <c r="P221" s="15">
        <f>Bike_Sales[[#This Row],[Order_Quantity]]*Bike_Sales[[#This Row],[Unit_Cost]]</f>
        <v>550</v>
      </c>
      <c r="Q221" s="15">
        <f>Bike_Sales[[#This Row],[Total Sales]]-Bike_Sales[[#This Row],[Total Cost]]</f>
        <v>300</v>
      </c>
      <c r="R221" s="17">
        <f>Bike_Sales[[#This Row],[Profit]]/Bike_Sales[[#This Row],[Total Sales]]</f>
        <v>0.35294117647058826</v>
      </c>
      <c r="S221" s="16" t="str">
        <f t="shared" si="3"/>
        <v>25-34</v>
      </c>
    </row>
    <row r="222" spans="1:19" x14ac:dyDescent="0.35">
      <c r="A222" s="2">
        <v>44524</v>
      </c>
      <c r="B222" s="2" t="str">
        <f>TEXT(Bike_Sales[[#This Row],[Date]],"mmmm")</f>
        <v>November</v>
      </c>
      <c r="C222" s="19">
        <f>MONTH(Bike_Sales[[#This Row],[Date]])</f>
        <v>11</v>
      </c>
      <c r="D222" s="2" t="str">
        <f>TEXT(Bike_Sales[[#This Row],[Date]],"dddd")</f>
        <v>Wednesday</v>
      </c>
      <c r="E222" s="3">
        <v>28</v>
      </c>
      <c r="F222" s="3" t="s">
        <v>135</v>
      </c>
      <c r="G222" s="3" t="s">
        <v>9</v>
      </c>
      <c r="H222" s="3" t="s">
        <v>69</v>
      </c>
      <c r="I222" s="3" t="s">
        <v>16</v>
      </c>
      <c r="J222" s="3" t="s">
        <v>103</v>
      </c>
      <c r="K222" s="3" t="s">
        <v>22</v>
      </c>
      <c r="L222" s="4">
        <v>2</v>
      </c>
      <c r="M222" s="3">
        <v>550</v>
      </c>
      <c r="N222" s="3">
        <v>850</v>
      </c>
      <c r="O222" s="15">
        <f>Bike_Sales[[#This Row],[Order_Quantity]]*Bike_Sales[[#This Row],[Unit_Price]]</f>
        <v>1700</v>
      </c>
      <c r="P222" s="15">
        <f>Bike_Sales[[#This Row],[Order_Quantity]]*Bike_Sales[[#This Row],[Unit_Cost]]</f>
        <v>1100</v>
      </c>
      <c r="Q222" s="15">
        <f>Bike_Sales[[#This Row],[Total Sales]]-Bike_Sales[[#This Row],[Total Cost]]</f>
        <v>600</v>
      </c>
      <c r="R222" s="17">
        <f>Bike_Sales[[#This Row],[Profit]]/Bike_Sales[[#This Row],[Total Sales]]</f>
        <v>0.35294117647058826</v>
      </c>
      <c r="S222" s="16" t="str">
        <f t="shared" si="3"/>
        <v>25-34</v>
      </c>
    </row>
    <row r="223" spans="1:19" x14ac:dyDescent="0.35">
      <c r="A223" s="2">
        <v>44525</v>
      </c>
      <c r="B223" s="2" t="str">
        <f>TEXT(Bike_Sales[[#This Row],[Date]],"mmmm")</f>
        <v>November</v>
      </c>
      <c r="C223" s="19">
        <f>MONTH(Bike_Sales[[#This Row],[Date]])</f>
        <v>11</v>
      </c>
      <c r="D223" s="2" t="str">
        <f>TEXT(Bike_Sales[[#This Row],[Date]],"dddd")</f>
        <v>Thursday</v>
      </c>
      <c r="E223" s="3">
        <v>28</v>
      </c>
      <c r="F223" s="3" t="s">
        <v>135</v>
      </c>
      <c r="G223" s="3" t="s">
        <v>129</v>
      </c>
      <c r="H223" s="3" t="s">
        <v>15</v>
      </c>
      <c r="I223" s="3" t="s">
        <v>11</v>
      </c>
      <c r="J223" s="3" t="s">
        <v>101</v>
      </c>
      <c r="K223" s="3" t="s">
        <v>32</v>
      </c>
      <c r="L223" s="4">
        <v>3</v>
      </c>
      <c r="M223" s="3">
        <v>700</v>
      </c>
      <c r="N223" s="3">
        <v>1100</v>
      </c>
      <c r="O223" s="15">
        <f>Bike_Sales[[#This Row],[Order_Quantity]]*Bike_Sales[[#This Row],[Unit_Price]]</f>
        <v>3300</v>
      </c>
      <c r="P223" s="15">
        <f>Bike_Sales[[#This Row],[Order_Quantity]]*Bike_Sales[[#This Row],[Unit_Cost]]</f>
        <v>2100</v>
      </c>
      <c r="Q223" s="15">
        <f>Bike_Sales[[#This Row],[Total Sales]]-Bike_Sales[[#This Row],[Total Cost]]</f>
        <v>1200</v>
      </c>
      <c r="R223" s="17">
        <f>Bike_Sales[[#This Row],[Profit]]/Bike_Sales[[#This Row],[Total Sales]]</f>
        <v>0.36363636363636365</v>
      </c>
      <c r="S223" s="16" t="str">
        <f t="shared" si="3"/>
        <v>25-34</v>
      </c>
    </row>
    <row r="224" spans="1:19" x14ac:dyDescent="0.35">
      <c r="A224" s="2">
        <v>44527</v>
      </c>
      <c r="B224" s="2" t="str">
        <f>TEXT(Bike_Sales[[#This Row],[Date]],"mmmm")</f>
        <v>November</v>
      </c>
      <c r="C224" s="19">
        <f>MONTH(Bike_Sales[[#This Row],[Date]])</f>
        <v>11</v>
      </c>
      <c r="D224" s="2" t="str">
        <f>TEXT(Bike_Sales[[#This Row],[Date]],"dddd")</f>
        <v>Saturday</v>
      </c>
      <c r="E224" s="3">
        <v>28</v>
      </c>
      <c r="F224" s="3" t="s">
        <v>135</v>
      </c>
      <c r="G224" s="3" t="s">
        <v>129</v>
      </c>
      <c r="H224" s="3" t="s">
        <v>15</v>
      </c>
      <c r="I224" s="3" t="s">
        <v>11</v>
      </c>
      <c r="J224" s="3" t="s">
        <v>101</v>
      </c>
      <c r="K224" s="3" t="s">
        <v>32</v>
      </c>
      <c r="L224" s="4">
        <v>4</v>
      </c>
      <c r="M224" s="3">
        <v>700</v>
      </c>
      <c r="N224" s="3">
        <v>1100</v>
      </c>
      <c r="O224" s="15">
        <f>Bike_Sales[[#This Row],[Order_Quantity]]*Bike_Sales[[#This Row],[Unit_Price]]</f>
        <v>4400</v>
      </c>
      <c r="P224" s="15">
        <f>Bike_Sales[[#This Row],[Order_Quantity]]*Bike_Sales[[#This Row],[Unit_Cost]]</f>
        <v>2800</v>
      </c>
      <c r="Q224" s="15">
        <f>Bike_Sales[[#This Row],[Total Sales]]-Bike_Sales[[#This Row],[Total Cost]]</f>
        <v>1600</v>
      </c>
      <c r="R224" s="17">
        <f>Bike_Sales[[#This Row],[Profit]]/Bike_Sales[[#This Row],[Total Sales]]</f>
        <v>0.36363636363636365</v>
      </c>
      <c r="S224" s="16" t="str">
        <f t="shared" si="3"/>
        <v>25-34</v>
      </c>
    </row>
    <row r="225" spans="1:19" x14ac:dyDescent="0.35">
      <c r="A225" s="2">
        <v>44528</v>
      </c>
      <c r="B225" s="2" t="str">
        <f>TEXT(Bike_Sales[[#This Row],[Date]],"mmmm")</f>
        <v>November</v>
      </c>
      <c r="C225" s="19">
        <f>MONTH(Bike_Sales[[#This Row],[Date]])</f>
        <v>11</v>
      </c>
      <c r="D225" s="2" t="str">
        <f>TEXT(Bike_Sales[[#This Row],[Date]],"dddd")</f>
        <v>Sunday</v>
      </c>
      <c r="E225" s="3">
        <v>28</v>
      </c>
      <c r="F225" s="3" t="s">
        <v>135</v>
      </c>
      <c r="G225" s="3" t="s">
        <v>129</v>
      </c>
      <c r="H225" s="3" t="s">
        <v>15</v>
      </c>
      <c r="I225" s="3" t="s">
        <v>11</v>
      </c>
      <c r="J225" s="3" t="s">
        <v>101</v>
      </c>
      <c r="K225" s="3" t="s">
        <v>32</v>
      </c>
      <c r="L225" s="4">
        <v>1</v>
      </c>
      <c r="M225" s="3">
        <v>700</v>
      </c>
      <c r="N225" s="3">
        <v>1100</v>
      </c>
      <c r="O225" s="15">
        <f>Bike_Sales[[#This Row],[Order_Quantity]]*Bike_Sales[[#This Row],[Unit_Price]]</f>
        <v>1100</v>
      </c>
      <c r="P225" s="15">
        <f>Bike_Sales[[#This Row],[Order_Quantity]]*Bike_Sales[[#This Row],[Unit_Cost]]</f>
        <v>700</v>
      </c>
      <c r="Q225" s="15">
        <f>Bike_Sales[[#This Row],[Total Sales]]-Bike_Sales[[#This Row],[Total Cost]]</f>
        <v>400</v>
      </c>
      <c r="R225" s="17">
        <f>Bike_Sales[[#This Row],[Profit]]/Bike_Sales[[#This Row],[Total Sales]]</f>
        <v>0.36363636363636365</v>
      </c>
      <c r="S225" s="16" t="str">
        <f t="shared" si="3"/>
        <v>25-34</v>
      </c>
    </row>
    <row r="226" spans="1:19" x14ac:dyDescent="0.35">
      <c r="A226" s="2">
        <v>44531</v>
      </c>
      <c r="B226" s="2" t="str">
        <f>TEXT(Bike_Sales[[#This Row],[Date]],"mmmm")</f>
        <v>December</v>
      </c>
      <c r="C226" s="19">
        <f>MONTH(Bike_Sales[[#This Row],[Date]])</f>
        <v>12</v>
      </c>
      <c r="D226" s="2" t="str">
        <f>TEXT(Bike_Sales[[#This Row],[Date]],"dddd")</f>
        <v>Wednesday</v>
      </c>
      <c r="E226" s="3">
        <v>28</v>
      </c>
      <c r="F226" s="3" t="s">
        <v>135</v>
      </c>
      <c r="G226" s="3" t="s">
        <v>18</v>
      </c>
      <c r="H226" s="3" t="s">
        <v>24</v>
      </c>
      <c r="I226" s="3" t="s">
        <v>11</v>
      </c>
      <c r="J226" s="3" t="s">
        <v>101</v>
      </c>
      <c r="K226" s="3" t="s">
        <v>46</v>
      </c>
      <c r="L226" s="4">
        <v>1</v>
      </c>
      <c r="M226" s="3">
        <v>580</v>
      </c>
      <c r="N226" s="3">
        <v>920</v>
      </c>
      <c r="O226" s="15">
        <f>Bike_Sales[[#This Row],[Order_Quantity]]*Bike_Sales[[#This Row],[Unit_Price]]</f>
        <v>920</v>
      </c>
      <c r="P226" s="15">
        <f>Bike_Sales[[#This Row],[Order_Quantity]]*Bike_Sales[[#This Row],[Unit_Cost]]</f>
        <v>580</v>
      </c>
      <c r="Q226" s="15">
        <f>Bike_Sales[[#This Row],[Total Sales]]-Bike_Sales[[#This Row],[Total Cost]]</f>
        <v>340</v>
      </c>
      <c r="R226" s="17">
        <f>Bike_Sales[[#This Row],[Profit]]/Bike_Sales[[#This Row],[Total Sales]]</f>
        <v>0.36956521739130432</v>
      </c>
      <c r="S226" s="16" t="str">
        <f t="shared" si="3"/>
        <v>25-34</v>
      </c>
    </row>
    <row r="227" spans="1:19" x14ac:dyDescent="0.35">
      <c r="A227" s="2">
        <v>44531</v>
      </c>
      <c r="B227" s="2" t="str">
        <f>TEXT(Bike_Sales[[#This Row],[Date]],"mmmm")</f>
        <v>December</v>
      </c>
      <c r="C227" s="19">
        <f>MONTH(Bike_Sales[[#This Row],[Date]])</f>
        <v>12</v>
      </c>
      <c r="D227" s="2" t="str">
        <f>TEXT(Bike_Sales[[#This Row],[Date]],"dddd")</f>
        <v>Wednesday</v>
      </c>
      <c r="E227" s="3">
        <v>28</v>
      </c>
      <c r="F227" s="3" t="s">
        <v>135</v>
      </c>
      <c r="G227" s="3" t="s">
        <v>9</v>
      </c>
      <c r="H227" s="3" t="s">
        <v>10</v>
      </c>
      <c r="I227" s="3" t="s">
        <v>11</v>
      </c>
      <c r="J227" s="3" t="s">
        <v>101</v>
      </c>
      <c r="K227" s="3" t="s">
        <v>67</v>
      </c>
      <c r="L227" s="4">
        <v>1</v>
      </c>
      <c r="M227" s="3">
        <v>700</v>
      </c>
      <c r="N227" s="3">
        <v>1100</v>
      </c>
      <c r="O227" s="15">
        <f>Bike_Sales[[#This Row],[Order_Quantity]]*Bike_Sales[[#This Row],[Unit_Price]]</f>
        <v>1100</v>
      </c>
      <c r="P227" s="15">
        <f>Bike_Sales[[#This Row],[Order_Quantity]]*Bike_Sales[[#This Row],[Unit_Cost]]</f>
        <v>700</v>
      </c>
      <c r="Q227" s="15">
        <f>Bike_Sales[[#This Row],[Total Sales]]-Bike_Sales[[#This Row],[Total Cost]]</f>
        <v>400</v>
      </c>
      <c r="R227" s="17">
        <f>Bike_Sales[[#This Row],[Profit]]/Bike_Sales[[#This Row],[Total Sales]]</f>
        <v>0.36363636363636365</v>
      </c>
      <c r="S227" s="16" t="str">
        <f t="shared" si="3"/>
        <v>25-34</v>
      </c>
    </row>
    <row r="228" spans="1:19" x14ac:dyDescent="0.35">
      <c r="A228" s="2">
        <v>44532</v>
      </c>
      <c r="B228" s="2" t="str">
        <f>TEXT(Bike_Sales[[#This Row],[Date]],"mmmm")</f>
        <v>December</v>
      </c>
      <c r="C228" s="19">
        <f>MONTH(Bike_Sales[[#This Row],[Date]])</f>
        <v>12</v>
      </c>
      <c r="D228" s="2" t="str">
        <f>TEXT(Bike_Sales[[#This Row],[Date]],"dddd")</f>
        <v>Thursday</v>
      </c>
      <c r="E228" s="3">
        <v>28</v>
      </c>
      <c r="F228" s="3" t="s">
        <v>135</v>
      </c>
      <c r="G228" s="3" t="s">
        <v>9</v>
      </c>
      <c r="H228" s="3" t="s">
        <v>37</v>
      </c>
      <c r="I228" s="3" t="s">
        <v>11</v>
      </c>
      <c r="J228" s="3" t="s">
        <v>104</v>
      </c>
      <c r="K228" s="3" t="s">
        <v>77</v>
      </c>
      <c r="L228" s="4">
        <v>1</v>
      </c>
      <c r="M228" s="3">
        <v>500</v>
      </c>
      <c r="N228" s="3">
        <v>800</v>
      </c>
      <c r="O228" s="15">
        <f>Bike_Sales[[#This Row],[Order_Quantity]]*Bike_Sales[[#This Row],[Unit_Price]]</f>
        <v>800</v>
      </c>
      <c r="P228" s="15">
        <f>Bike_Sales[[#This Row],[Order_Quantity]]*Bike_Sales[[#This Row],[Unit_Cost]]</f>
        <v>500</v>
      </c>
      <c r="Q228" s="15">
        <f>Bike_Sales[[#This Row],[Total Sales]]-Bike_Sales[[#This Row],[Total Cost]]</f>
        <v>300</v>
      </c>
      <c r="R228" s="17">
        <f>Bike_Sales[[#This Row],[Profit]]/Bike_Sales[[#This Row],[Total Sales]]</f>
        <v>0.375</v>
      </c>
      <c r="S228" s="16" t="str">
        <f t="shared" si="3"/>
        <v>25-34</v>
      </c>
    </row>
    <row r="229" spans="1:19" x14ac:dyDescent="0.35">
      <c r="A229" s="2">
        <v>44533</v>
      </c>
      <c r="B229" s="2" t="str">
        <f>TEXT(Bike_Sales[[#This Row],[Date]],"mmmm")</f>
        <v>December</v>
      </c>
      <c r="C229" s="19">
        <f>MONTH(Bike_Sales[[#This Row],[Date]])</f>
        <v>12</v>
      </c>
      <c r="D229" s="2" t="str">
        <f>TEXT(Bike_Sales[[#This Row],[Date]],"dddd")</f>
        <v>Friday</v>
      </c>
      <c r="E229" s="3">
        <v>28</v>
      </c>
      <c r="F229" s="3" t="s">
        <v>126</v>
      </c>
      <c r="G229" s="3" t="s">
        <v>39</v>
      </c>
      <c r="H229" s="3" t="s">
        <v>79</v>
      </c>
      <c r="I229" s="3" t="s">
        <v>11</v>
      </c>
      <c r="J229" s="3" t="s">
        <v>104</v>
      </c>
      <c r="K229" s="3" t="s">
        <v>51</v>
      </c>
      <c r="L229" s="4">
        <v>3</v>
      </c>
      <c r="M229" s="3">
        <v>530</v>
      </c>
      <c r="N229" s="3">
        <v>840</v>
      </c>
      <c r="O229" s="15">
        <f>Bike_Sales[[#This Row],[Order_Quantity]]*Bike_Sales[[#This Row],[Unit_Price]]</f>
        <v>2520</v>
      </c>
      <c r="P229" s="15">
        <f>Bike_Sales[[#This Row],[Order_Quantity]]*Bike_Sales[[#This Row],[Unit_Cost]]</f>
        <v>1590</v>
      </c>
      <c r="Q229" s="15">
        <f>Bike_Sales[[#This Row],[Total Sales]]-Bike_Sales[[#This Row],[Total Cost]]</f>
        <v>930</v>
      </c>
      <c r="R229" s="17">
        <f>Bike_Sales[[#This Row],[Profit]]/Bike_Sales[[#This Row],[Total Sales]]</f>
        <v>0.36904761904761907</v>
      </c>
      <c r="S229" s="16" t="str">
        <f t="shared" si="3"/>
        <v>25-34</v>
      </c>
    </row>
    <row r="230" spans="1:19" x14ac:dyDescent="0.35">
      <c r="A230" s="2">
        <v>44533</v>
      </c>
      <c r="B230" s="2" t="str">
        <f>TEXT(Bike_Sales[[#This Row],[Date]],"mmmm")</f>
        <v>December</v>
      </c>
      <c r="C230" s="19">
        <f>MONTH(Bike_Sales[[#This Row],[Date]])</f>
        <v>12</v>
      </c>
      <c r="D230" s="2" t="str">
        <f>TEXT(Bike_Sales[[#This Row],[Date]],"dddd")</f>
        <v>Friday</v>
      </c>
      <c r="E230" s="3">
        <v>28</v>
      </c>
      <c r="F230" s="3" t="s">
        <v>135</v>
      </c>
      <c r="G230" s="3" t="s">
        <v>18</v>
      </c>
      <c r="H230" s="3" t="s">
        <v>24</v>
      </c>
      <c r="I230" s="3" t="s">
        <v>11</v>
      </c>
      <c r="J230" s="3" t="s">
        <v>101</v>
      </c>
      <c r="K230" s="3" t="s">
        <v>46</v>
      </c>
      <c r="L230" s="4">
        <v>1</v>
      </c>
      <c r="M230" s="3">
        <v>580</v>
      </c>
      <c r="N230" s="3">
        <v>920</v>
      </c>
      <c r="O230" s="15">
        <f>Bike_Sales[[#This Row],[Order_Quantity]]*Bike_Sales[[#This Row],[Unit_Price]]</f>
        <v>920</v>
      </c>
      <c r="P230" s="15">
        <f>Bike_Sales[[#This Row],[Order_Quantity]]*Bike_Sales[[#This Row],[Unit_Cost]]</f>
        <v>580</v>
      </c>
      <c r="Q230" s="15">
        <f>Bike_Sales[[#This Row],[Total Sales]]-Bike_Sales[[#This Row],[Total Cost]]</f>
        <v>340</v>
      </c>
      <c r="R230" s="17">
        <f>Bike_Sales[[#This Row],[Profit]]/Bike_Sales[[#This Row],[Total Sales]]</f>
        <v>0.36956521739130432</v>
      </c>
      <c r="S230" s="16" t="str">
        <f t="shared" si="3"/>
        <v>25-34</v>
      </c>
    </row>
    <row r="231" spans="1:19" x14ac:dyDescent="0.35">
      <c r="A231" s="2">
        <v>44533</v>
      </c>
      <c r="B231" s="2" t="str">
        <f>TEXT(Bike_Sales[[#This Row],[Date]],"mmmm")</f>
        <v>December</v>
      </c>
      <c r="C231" s="19">
        <f>MONTH(Bike_Sales[[#This Row],[Date]])</f>
        <v>12</v>
      </c>
      <c r="D231" s="2" t="str">
        <f>TEXT(Bike_Sales[[#This Row],[Date]],"dddd")</f>
        <v>Friday</v>
      </c>
      <c r="E231" s="3">
        <v>28</v>
      </c>
      <c r="F231" s="3" t="s">
        <v>126</v>
      </c>
      <c r="G231" s="3" t="s">
        <v>39</v>
      </c>
      <c r="H231" s="3" t="s">
        <v>80</v>
      </c>
      <c r="I231" s="3" t="s">
        <v>11</v>
      </c>
      <c r="J231" s="3" t="s">
        <v>104</v>
      </c>
      <c r="K231" s="3" t="s">
        <v>77</v>
      </c>
      <c r="L231" s="4">
        <v>1</v>
      </c>
      <c r="M231" s="3">
        <v>500</v>
      </c>
      <c r="N231" s="3">
        <v>800</v>
      </c>
      <c r="O231" s="15">
        <f>Bike_Sales[[#This Row],[Order_Quantity]]*Bike_Sales[[#This Row],[Unit_Price]]</f>
        <v>800</v>
      </c>
      <c r="P231" s="15">
        <f>Bike_Sales[[#This Row],[Order_Quantity]]*Bike_Sales[[#This Row],[Unit_Cost]]</f>
        <v>500</v>
      </c>
      <c r="Q231" s="15">
        <f>Bike_Sales[[#This Row],[Total Sales]]-Bike_Sales[[#This Row],[Total Cost]]</f>
        <v>300</v>
      </c>
      <c r="R231" s="17">
        <f>Bike_Sales[[#This Row],[Profit]]/Bike_Sales[[#This Row],[Total Sales]]</f>
        <v>0.375</v>
      </c>
      <c r="S231" s="16" t="str">
        <f t="shared" si="3"/>
        <v>25-34</v>
      </c>
    </row>
    <row r="232" spans="1:19" x14ac:dyDescent="0.35">
      <c r="A232" s="2">
        <v>44535</v>
      </c>
      <c r="B232" s="2" t="str">
        <f>TEXT(Bike_Sales[[#This Row],[Date]],"mmmm")</f>
        <v>December</v>
      </c>
      <c r="C232" s="19">
        <f>MONTH(Bike_Sales[[#This Row],[Date]])</f>
        <v>12</v>
      </c>
      <c r="D232" s="2" t="str">
        <f>TEXT(Bike_Sales[[#This Row],[Date]],"dddd")</f>
        <v>Sunday</v>
      </c>
      <c r="E232" s="3">
        <v>28</v>
      </c>
      <c r="F232" s="3" t="s">
        <v>135</v>
      </c>
      <c r="G232" s="3" t="s">
        <v>9</v>
      </c>
      <c r="H232" s="3" t="s">
        <v>10</v>
      </c>
      <c r="I232" s="3" t="s">
        <v>11</v>
      </c>
      <c r="J232" s="3" t="s">
        <v>101</v>
      </c>
      <c r="K232" s="3" t="s">
        <v>67</v>
      </c>
      <c r="L232" s="4">
        <v>1</v>
      </c>
      <c r="M232" s="3">
        <v>700</v>
      </c>
      <c r="N232" s="3">
        <v>1100</v>
      </c>
      <c r="O232" s="15">
        <f>Bike_Sales[[#This Row],[Order_Quantity]]*Bike_Sales[[#This Row],[Unit_Price]]</f>
        <v>1100</v>
      </c>
      <c r="P232" s="15">
        <f>Bike_Sales[[#This Row],[Order_Quantity]]*Bike_Sales[[#This Row],[Unit_Cost]]</f>
        <v>700</v>
      </c>
      <c r="Q232" s="15">
        <f>Bike_Sales[[#This Row],[Total Sales]]-Bike_Sales[[#This Row],[Total Cost]]</f>
        <v>400</v>
      </c>
      <c r="R232" s="17">
        <f>Bike_Sales[[#This Row],[Profit]]/Bike_Sales[[#This Row],[Total Sales]]</f>
        <v>0.36363636363636365</v>
      </c>
      <c r="S232" s="16" t="str">
        <f t="shared" si="3"/>
        <v>25-34</v>
      </c>
    </row>
    <row r="233" spans="1:19" x14ac:dyDescent="0.35">
      <c r="A233" s="2">
        <v>44535</v>
      </c>
      <c r="B233" s="2" t="str">
        <f>TEXT(Bike_Sales[[#This Row],[Date]],"mmmm")</f>
        <v>December</v>
      </c>
      <c r="C233" s="19">
        <f>MONTH(Bike_Sales[[#This Row],[Date]])</f>
        <v>12</v>
      </c>
      <c r="D233" s="2" t="str">
        <f>TEXT(Bike_Sales[[#This Row],[Date]],"dddd")</f>
        <v>Sunday</v>
      </c>
      <c r="E233" s="3">
        <v>28</v>
      </c>
      <c r="F233" s="3" t="s">
        <v>135</v>
      </c>
      <c r="G233" s="3" t="s">
        <v>13</v>
      </c>
      <c r="H233" s="3" t="s">
        <v>127</v>
      </c>
      <c r="I233" s="3" t="s">
        <v>11</v>
      </c>
      <c r="J233" s="3" t="s">
        <v>102</v>
      </c>
      <c r="K233" s="3" t="s">
        <v>62</v>
      </c>
      <c r="L233" s="4">
        <v>1</v>
      </c>
      <c r="M233" s="3">
        <v>580</v>
      </c>
      <c r="N233" s="3">
        <v>920</v>
      </c>
      <c r="O233" s="15">
        <f>Bike_Sales[[#This Row],[Order_Quantity]]*Bike_Sales[[#This Row],[Unit_Price]]</f>
        <v>920</v>
      </c>
      <c r="P233" s="15">
        <f>Bike_Sales[[#This Row],[Order_Quantity]]*Bike_Sales[[#This Row],[Unit_Cost]]</f>
        <v>580</v>
      </c>
      <c r="Q233" s="15">
        <f>Bike_Sales[[#This Row],[Total Sales]]-Bike_Sales[[#This Row],[Total Cost]]</f>
        <v>340</v>
      </c>
      <c r="R233" s="17">
        <f>Bike_Sales[[#This Row],[Profit]]/Bike_Sales[[#This Row],[Total Sales]]</f>
        <v>0.36956521739130432</v>
      </c>
      <c r="S233" s="16" t="str">
        <f t="shared" si="3"/>
        <v>25-34</v>
      </c>
    </row>
    <row r="234" spans="1:19" x14ac:dyDescent="0.35">
      <c r="A234" s="2">
        <v>44542</v>
      </c>
      <c r="B234" s="2" t="str">
        <f>TEXT(Bike_Sales[[#This Row],[Date]],"mmmm")</f>
        <v>December</v>
      </c>
      <c r="C234" s="19">
        <f>MONTH(Bike_Sales[[#This Row],[Date]])</f>
        <v>12</v>
      </c>
      <c r="D234" s="2" t="str">
        <f>TEXT(Bike_Sales[[#This Row],[Date]],"dddd")</f>
        <v>Sunday</v>
      </c>
      <c r="E234" s="3">
        <v>28</v>
      </c>
      <c r="F234" s="3" t="s">
        <v>126</v>
      </c>
      <c r="G234" s="3" t="s">
        <v>39</v>
      </c>
      <c r="H234" s="3" t="s">
        <v>42</v>
      </c>
      <c r="I234" s="3" t="s">
        <v>11</v>
      </c>
      <c r="J234" s="3" t="s">
        <v>102</v>
      </c>
      <c r="K234" s="3" t="s">
        <v>66</v>
      </c>
      <c r="L234" s="4">
        <v>3</v>
      </c>
      <c r="M234" s="3">
        <v>900</v>
      </c>
      <c r="N234" s="3">
        <v>1400</v>
      </c>
      <c r="O234" s="15">
        <f>Bike_Sales[[#This Row],[Order_Quantity]]*Bike_Sales[[#This Row],[Unit_Price]]</f>
        <v>4200</v>
      </c>
      <c r="P234" s="15">
        <f>Bike_Sales[[#This Row],[Order_Quantity]]*Bike_Sales[[#This Row],[Unit_Cost]]</f>
        <v>2700</v>
      </c>
      <c r="Q234" s="15">
        <f>Bike_Sales[[#This Row],[Total Sales]]-Bike_Sales[[#This Row],[Total Cost]]</f>
        <v>1500</v>
      </c>
      <c r="R234" s="17">
        <f>Bike_Sales[[#This Row],[Profit]]/Bike_Sales[[#This Row],[Total Sales]]</f>
        <v>0.35714285714285715</v>
      </c>
      <c r="S234" s="16" t="str">
        <f t="shared" si="3"/>
        <v>25-34</v>
      </c>
    </row>
    <row r="235" spans="1:19" x14ac:dyDescent="0.35">
      <c r="A235" s="2">
        <v>44543</v>
      </c>
      <c r="B235" s="2" t="str">
        <f>TEXT(Bike_Sales[[#This Row],[Date]],"mmmm")</f>
        <v>December</v>
      </c>
      <c r="C235" s="19">
        <f>MONTH(Bike_Sales[[#This Row],[Date]])</f>
        <v>12</v>
      </c>
      <c r="D235" s="2" t="str">
        <f>TEXT(Bike_Sales[[#This Row],[Date]],"dddd")</f>
        <v>Monday</v>
      </c>
      <c r="E235" s="3">
        <v>28</v>
      </c>
      <c r="F235" s="3" t="s">
        <v>126</v>
      </c>
      <c r="G235" s="3" t="s">
        <v>18</v>
      </c>
      <c r="H235" s="3" t="s">
        <v>24</v>
      </c>
      <c r="I235" s="3" t="s">
        <v>11</v>
      </c>
      <c r="J235" s="3" t="s">
        <v>104</v>
      </c>
      <c r="K235" s="3" t="s">
        <v>27</v>
      </c>
      <c r="L235" s="4">
        <v>4</v>
      </c>
      <c r="M235" s="3">
        <v>530</v>
      </c>
      <c r="N235" s="3">
        <v>840</v>
      </c>
      <c r="O235" s="15">
        <f>Bike_Sales[[#This Row],[Order_Quantity]]*Bike_Sales[[#This Row],[Unit_Price]]</f>
        <v>3360</v>
      </c>
      <c r="P235" s="15">
        <f>Bike_Sales[[#This Row],[Order_Quantity]]*Bike_Sales[[#This Row],[Unit_Cost]]</f>
        <v>2120</v>
      </c>
      <c r="Q235" s="15">
        <f>Bike_Sales[[#This Row],[Total Sales]]-Bike_Sales[[#This Row],[Total Cost]]</f>
        <v>1240</v>
      </c>
      <c r="R235" s="17">
        <f>Bike_Sales[[#This Row],[Profit]]/Bike_Sales[[#This Row],[Total Sales]]</f>
        <v>0.36904761904761907</v>
      </c>
      <c r="S235" s="16" t="str">
        <f t="shared" si="3"/>
        <v>25-34</v>
      </c>
    </row>
    <row r="236" spans="1:19" x14ac:dyDescent="0.35">
      <c r="A236" s="2">
        <v>44543</v>
      </c>
      <c r="B236" s="2" t="str">
        <f>TEXT(Bike_Sales[[#This Row],[Date]],"mmmm")</f>
        <v>December</v>
      </c>
      <c r="C236" s="19">
        <f>MONTH(Bike_Sales[[#This Row],[Date]])</f>
        <v>12</v>
      </c>
      <c r="D236" s="2" t="str">
        <f>TEXT(Bike_Sales[[#This Row],[Date]],"dddd")</f>
        <v>Monday</v>
      </c>
      <c r="E236" s="3">
        <v>28</v>
      </c>
      <c r="F236" s="3" t="s">
        <v>135</v>
      </c>
      <c r="G236" s="3" t="s">
        <v>39</v>
      </c>
      <c r="H236" s="3" t="s">
        <v>131</v>
      </c>
      <c r="I236" s="3" t="s">
        <v>11</v>
      </c>
      <c r="J236" s="3" t="s">
        <v>104</v>
      </c>
      <c r="K236" s="3" t="s">
        <v>20</v>
      </c>
      <c r="L236" s="4">
        <v>2</v>
      </c>
      <c r="M236" s="3">
        <v>530</v>
      </c>
      <c r="N236" s="3">
        <v>840</v>
      </c>
      <c r="O236" s="15">
        <f>Bike_Sales[[#This Row],[Order_Quantity]]*Bike_Sales[[#This Row],[Unit_Price]]</f>
        <v>1680</v>
      </c>
      <c r="P236" s="15">
        <f>Bike_Sales[[#This Row],[Order_Quantity]]*Bike_Sales[[#This Row],[Unit_Cost]]</f>
        <v>1060</v>
      </c>
      <c r="Q236" s="15">
        <f>Bike_Sales[[#This Row],[Total Sales]]-Bike_Sales[[#This Row],[Total Cost]]</f>
        <v>620</v>
      </c>
      <c r="R236" s="17">
        <f>Bike_Sales[[#This Row],[Profit]]/Bike_Sales[[#This Row],[Total Sales]]</f>
        <v>0.36904761904761907</v>
      </c>
      <c r="S236" s="16" t="str">
        <f t="shared" si="3"/>
        <v>25-34</v>
      </c>
    </row>
    <row r="237" spans="1:19" x14ac:dyDescent="0.35">
      <c r="A237" s="2">
        <v>44545</v>
      </c>
      <c r="B237" s="2" t="str">
        <f>TEXT(Bike_Sales[[#This Row],[Date]],"mmmm")</f>
        <v>December</v>
      </c>
      <c r="C237" s="19">
        <f>MONTH(Bike_Sales[[#This Row],[Date]])</f>
        <v>12</v>
      </c>
      <c r="D237" s="2" t="str">
        <f>TEXT(Bike_Sales[[#This Row],[Date]],"dddd")</f>
        <v>Wednesday</v>
      </c>
      <c r="E237" s="3">
        <v>28</v>
      </c>
      <c r="F237" s="3" t="s">
        <v>135</v>
      </c>
      <c r="G237" s="3" t="s">
        <v>18</v>
      </c>
      <c r="H237" s="3" t="s">
        <v>24</v>
      </c>
      <c r="I237" s="3" t="s">
        <v>11</v>
      </c>
      <c r="J237" s="3" t="s">
        <v>101</v>
      </c>
      <c r="K237" s="3" t="s">
        <v>46</v>
      </c>
      <c r="L237" s="4">
        <v>4</v>
      </c>
      <c r="M237" s="3">
        <v>580</v>
      </c>
      <c r="N237" s="3">
        <v>920</v>
      </c>
      <c r="O237" s="15">
        <f>Bike_Sales[[#This Row],[Order_Quantity]]*Bike_Sales[[#This Row],[Unit_Price]]</f>
        <v>3680</v>
      </c>
      <c r="P237" s="15">
        <f>Bike_Sales[[#This Row],[Order_Quantity]]*Bike_Sales[[#This Row],[Unit_Cost]]</f>
        <v>2320</v>
      </c>
      <c r="Q237" s="15">
        <f>Bike_Sales[[#This Row],[Total Sales]]-Bike_Sales[[#This Row],[Total Cost]]</f>
        <v>1360</v>
      </c>
      <c r="R237" s="17">
        <f>Bike_Sales[[#This Row],[Profit]]/Bike_Sales[[#This Row],[Total Sales]]</f>
        <v>0.36956521739130432</v>
      </c>
      <c r="S237" s="16" t="str">
        <f t="shared" si="3"/>
        <v>25-34</v>
      </c>
    </row>
    <row r="238" spans="1:19" x14ac:dyDescent="0.35">
      <c r="A238" s="2">
        <v>44546</v>
      </c>
      <c r="B238" s="2" t="str">
        <f>TEXT(Bike_Sales[[#This Row],[Date]],"mmmm")</f>
        <v>December</v>
      </c>
      <c r="C238" s="19">
        <f>MONTH(Bike_Sales[[#This Row],[Date]])</f>
        <v>12</v>
      </c>
      <c r="D238" s="2" t="str">
        <f>TEXT(Bike_Sales[[#This Row],[Date]],"dddd")</f>
        <v>Thursday</v>
      </c>
      <c r="E238" s="3">
        <v>28</v>
      </c>
      <c r="F238" s="3" t="s">
        <v>126</v>
      </c>
      <c r="G238" s="3" t="s">
        <v>39</v>
      </c>
      <c r="H238" s="3" t="s">
        <v>80</v>
      </c>
      <c r="I238" s="3" t="s">
        <v>11</v>
      </c>
      <c r="J238" s="3" t="s">
        <v>104</v>
      </c>
      <c r="K238" s="3" t="s">
        <v>77</v>
      </c>
      <c r="L238" s="4">
        <v>1</v>
      </c>
      <c r="M238" s="3">
        <v>500</v>
      </c>
      <c r="N238" s="3">
        <v>800</v>
      </c>
      <c r="O238" s="15">
        <f>Bike_Sales[[#This Row],[Order_Quantity]]*Bike_Sales[[#This Row],[Unit_Price]]</f>
        <v>800</v>
      </c>
      <c r="P238" s="15">
        <f>Bike_Sales[[#This Row],[Order_Quantity]]*Bike_Sales[[#This Row],[Unit_Cost]]</f>
        <v>500</v>
      </c>
      <c r="Q238" s="15">
        <f>Bike_Sales[[#This Row],[Total Sales]]-Bike_Sales[[#This Row],[Total Cost]]</f>
        <v>300</v>
      </c>
      <c r="R238" s="17">
        <f>Bike_Sales[[#This Row],[Profit]]/Bike_Sales[[#This Row],[Total Sales]]</f>
        <v>0.375</v>
      </c>
      <c r="S238" s="16" t="str">
        <f t="shared" si="3"/>
        <v>25-34</v>
      </c>
    </row>
    <row r="239" spans="1:19" x14ac:dyDescent="0.35">
      <c r="A239" s="2">
        <v>44552</v>
      </c>
      <c r="B239" s="2" t="str">
        <f>TEXT(Bike_Sales[[#This Row],[Date]],"mmmm")</f>
        <v>December</v>
      </c>
      <c r="C239" s="19">
        <f>MONTH(Bike_Sales[[#This Row],[Date]])</f>
        <v>12</v>
      </c>
      <c r="D239" s="2" t="str">
        <f>TEXT(Bike_Sales[[#This Row],[Date]],"dddd")</f>
        <v>Wednesday</v>
      </c>
      <c r="E239" s="3">
        <v>28</v>
      </c>
      <c r="F239" s="3" t="s">
        <v>126</v>
      </c>
      <c r="G239" s="3" t="s">
        <v>9</v>
      </c>
      <c r="H239" s="3" t="s">
        <v>10</v>
      </c>
      <c r="I239" s="3" t="s">
        <v>11</v>
      </c>
      <c r="J239" s="3" t="s">
        <v>102</v>
      </c>
      <c r="K239" s="3" t="s">
        <v>47</v>
      </c>
      <c r="L239" s="4">
        <v>2</v>
      </c>
      <c r="M239" s="3">
        <v>900</v>
      </c>
      <c r="N239" s="3">
        <v>1400</v>
      </c>
      <c r="O239" s="15">
        <f>Bike_Sales[[#This Row],[Order_Quantity]]*Bike_Sales[[#This Row],[Unit_Price]]</f>
        <v>2800</v>
      </c>
      <c r="P239" s="15">
        <f>Bike_Sales[[#This Row],[Order_Quantity]]*Bike_Sales[[#This Row],[Unit_Cost]]</f>
        <v>1800</v>
      </c>
      <c r="Q239" s="15">
        <f>Bike_Sales[[#This Row],[Total Sales]]-Bike_Sales[[#This Row],[Total Cost]]</f>
        <v>1000</v>
      </c>
      <c r="R239" s="17">
        <f>Bike_Sales[[#This Row],[Profit]]/Bike_Sales[[#This Row],[Total Sales]]</f>
        <v>0.35714285714285715</v>
      </c>
      <c r="S239" s="16" t="str">
        <f t="shared" si="3"/>
        <v>25-34</v>
      </c>
    </row>
    <row r="240" spans="1:19" x14ac:dyDescent="0.35">
      <c r="A240" s="2">
        <v>44552</v>
      </c>
      <c r="B240" s="2" t="str">
        <f>TEXT(Bike_Sales[[#This Row],[Date]],"mmmm")</f>
        <v>December</v>
      </c>
      <c r="C240" s="19">
        <f>MONTH(Bike_Sales[[#This Row],[Date]])</f>
        <v>12</v>
      </c>
      <c r="D240" s="2" t="str">
        <f>TEXT(Bike_Sales[[#This Row],[Date]],"dddd")</f>
        <v>Wednesday</v>
      </c>
      <c r="E240" s="3">
        <v>28</v>
      </c>
      <c r="F240" s="3" t="s">
        <v>135</v>
      </c>
      <c r="G240" s="3" t="s">
        <v>9</v>
      </c>
      <c r="H240" s="3" t="s">
        <v>10</v>
      </c>
      <c r="I240" s="3" t="s">
        <v>11</v>
      </c>
      <c r="J240" s="3" t="s">
        <v>101</v>
      </c>
      <c r="K240" s="3" t="s">
        <v>67</v>
      </c>
      <c r="L240" s="4">
        <v>1</v>
      </c>
      <c r="M240" s="3">
        <v>700</v>
      </c>
      <c r="N240" s="3">
        <v>1100</v>
      </c>
      <c r="O240" s="15">
        <f>Bike_Sales[[#This Row],[Order_Quantity]]*Bike_Sales[[#This Row],[Unit_Price]]</f>
        <v>1100</v>
      </c>
      <c r="P240" s="15">
        <f>Bike_Sales[[#This Row],[Order_Quantity]]*Bike_Sales[[#This Row],[Unit_Cost]]</f>
        <v>700</v>
      </c>
      <c r="Q240" s="15">
        <f>Bike_Sales[[#This Row],[Total Sales]]-Bike_Sales[[#This Row],[Total Cost]]</f>
        <v>400</v>
      </c>
      <c r="R240" s="17">
        <f>Bike_Sales[[#This Row],[Profit]]/Bike_Sales[[#This Row],[Total Sales]]</f>
        <v>0.36363636363636365</v>
      </c>
      <c r="S240" s="16" t="str">
        <f t="shared" si="3"/>
        <v>25-34</v>
      </c>
    </row>
    <row r="241" spans="1:19" x14ac:dyDescent="0.35">
      <c r="A241" s="2">
        <v>44556</v>
      </c>
      <c r="B241" s="2" t="str">
        <f>TEXT(Bike_Sales[[#This Row],[Date]],"mmmm")</f>
        <v>December</v>
      </c>
      <c r="C241" s="19">
        <f>MONTH(Bike_Sales[[#This Row],[Date]])</f>
        <v>12</v>
      </c>
      <c r="D241" s="2" t="str">
        <f>TEXT(Bike_Sales[[#This Row],[Date]],"dddd")</f>
        <v>Sunday</v>
      </c>
      <c r="E241" s="3">
        <v>28</v>
      </c>
      <c r="F241" s="3" t="s">
        <v>126</v>
      </c>
      <c r="G241" s="3" t="s">
        <v>39</v>
      </c>
      <c r="H241" s="3" t="s">
        <v>76</v>
      </c>
      <c r="I241" s="3" t="s">
        <v>11</v>
      </c>
      <c r="J241" s="3" t="s">
        <v>102</v>
      </c>
      <c r="K241" s="3" t="s">
        <v>28</v>
      </c>
      <c r="L241" s="4">
        <v>1</v>
      </c>
      <c r="M241" s="3">
        <v>580</v>
      </c>
      <c r="N241" s="3">
        <v>920</v>
      </c>
      <c r="O241" s="15">
        <f>Bike_Sales[[#This Row],[Order_Quantity]]*Bike_Sales[[#This Row],[Unit_Price]]</f>
        <v>920</v>
      </c>
      <c r="P241" s="15">
        <f>Bike_Sales[[#This Row],[Order_Quantity]]*Bike_Sales[[#This Row],[Unit_Cost]]</f>
        <v>580</v>
      </c>
      <c r="Q241" s="15">
        <f>Bike_Sales[[#This Row],[Total Sales]]-Bike_Sales[[#This Row],[Total Cost]]</f>
        <v>340</v>
      </c>
      <c r="R241" s="17">
        <f>Bike_Sales[[#This Row],[Profit]]/Bike_Sales[[#This Row],[Total Sales]]</f>
        <v>0.36956521739130432</v>
      </c>
      <c r="S241" s="16" t="str">
        <f t="shared" si="3"/>
        <v>25-34</v>
      </c>
    </row>
    <row r="242" spans="1:19" x14ac:dyDescent="0.35">
      <c r="A242" s="2">
        <v>44471</v>
      </c>
      <c r="B242" s="2" t="str">
        <f>TEXT(Bike_Sales[[#This Row],[Date]],"mmmm")</f>
        <v>October</v>
      </c>
      <c r="C242" s="19">
        <f>MONTH(Bike_Sales[[#This Row],[Date]])</f>
        <v>10</v>
      </c>
      <c r="D242" s="2" t="str">
        <f>TEXT(Bike_Sales[[#This Row],[Date]],"dddd")</f>
        <v>Saturday</v>
      </c>
      <c r="E242" s="3">
        <v>29</v>
      </c>
      <c r="F242" s="3" t="s">
        <v>135</v>
      </c>
      <c r="G242" s="3" t="s">
        <v>18</v>
      </c>
      <c r="H242" s="3" t="s">
        <v>24</v>
      </c>
      <c r="I242" s="3" t="s">
        <v>16</v>
      </c>
      <c r="J242" s="3" t="s">
        <v>103</v>
      </c>
      <c r="K242" s="3" t="s">
        <v>22</v>
      </c>
      <c r="L242" s="4">
        <v>3</v>
      </c>
      <c r="M242" s="3">
        <v>550</v>
      </c>
      <c r="N242" s="3">
        <v>850</v>
      </c>
      <c r="O242" s="15">
        <f>Bike_Sales[[#This Row],[Order_Quantity]]*Bike_Sales[[#This Row],[Unit_Price]]</f>
        <v>2550</v>
      </c>
      <c r="P242" s="15">
        <f>Bike_Sales[[#This Row],[Order_Quantity]]*Bike_Sales[[#This Row],[Unit_Cost]]</f>
        <v>1650</v>
      </c>
      <c r="Q242" s="15">
        <f>Bike_Sales[[#This Row],[Total Sales]]-Bike_Sales[[#This Row],[Total Cost]]</f>
        <v>900</v>
      </c>
      <c r="R242" s="17">
        <f>Bike_Sales[[#This Row],[Profit]]/Bike_Sales[[#This Row],[Total Sales]]</f>
        <v>0.35294117647058826</v>
      </c>
      <c r="S242" s="16" t="str">
        <f t="shared" si="3"/>
        <v>25-34</v>
      </c>
    </row>
    <row r="243" spans="1:19" x14ac:dyDescent="0.35">
      <c r="A243" s="2">
        <v>44473</v>
      </c>
      <c r="B243" s="2" t="str">
        <f>TEXT(Bike_Sales[[#This Row],[Date]],"mmmm")</f>
        <v>October</v>
      </c>
      <c r="C243" s="19">
        <f>MONTH(Bike_Sales[[#This Row],[Date]])</f>
        <v>10</v>
      </c>
      <c r="D243" s="2" t="str">
        <f>TEXT(Bike_Sales[[#This Row],[Date]],"dddd")</f>
        <v>Monday</v>
      </c>
      <c r="E243" s="3">
        <v>29</v>
      </c>
      <c r="F243" s="3" t="s">
        <v>126</v>
      </c>
      <c r="G243" s="3" t="s">
        <v>39</v>
      </c>
      <c r="H243" s="3" t="s">
        <v>42</v>
      </c>
      <c r="I243" s="3" t="s">
        <v>11</v>
      </c>
      <c r="J243" s="3" t="s">
        <v>102</v>
      </c>
      <c r="K243" s="3" t="s">
        <v>43</v>
      </c>
      <c r="L243" s="4">
        <v>2</v>
      </c>
      <c r="M243" s="3">
        <v>900</v>
      </c>
      <c r="N243" s="3">
        <v>1400</v>
      </c>
      <c r="O243" s="15">
        <f>Bike_Sales[[#This Row],[Order_Quantity]]*Bike_Sales[[#This Row],[Unit_Price]]</f>
        <v>2800</v>
      </c>
      <c r="P243" s="15">
        <f>Bike_Sales[[#This Row],[Order_Quantity]]*Bike_Sales[[#This Row],[Unit_Cost]]</f>
        <v>1800</v>
      </c>
      <c r="Q243" s="15">
        <f>Bike_Sales[[#This Row],[Total Sales]]-Bike_Sales[[#This Row],[Total Cost]]</f>
        <v>1000</v>
      </c>
      <c r="R243" s="17">
        <f>Bike_Sales[[#This Row],[Profit]]/Bike_Sales[[#This Row],[Total Sales]]</f>
        <v>0.35714285714285715</v>
      </c>
      <c r="S243" s="16" t="str">
        <f t="shared" si="3"/>
        <v>25-34</v>
      </c>
    </row>
    <row r="244" spans="1:19" x14ac:dyDescent="0.35">
      <c r="A244" s="2">
        <v>44475</v>
      </c>
      <c r="B244" s="2" t="str">
        <f>TEXT(Bike_Sales[[#This Row],[Date]],"mmmm")</f>
        <v>October</v>
      </c>
      <c r="C244" s="19">
        <f>MONTH(Bike_Sales[[#This Row],[Date]])</f>
        <v>10</v>
      </c>
      <c r="D244" s="2" t="str">
        <f>TEXT(Bike_Sales[[#This Row],[Date]],"dddd")</f>
        <v>Wednesday</v>
      </c>
      <c r="E244" s="3">
        <v>29</v>
      </c>
      <c r="F244" s="3" t="s">
        <v>135</v>
      </c>
      <c r="G244" s="3" t="s">
        <v>39</v>
      </c>
      <c r="H244" s="3" t="s">
        <v>40</v>
      </c>
      <c r="I244" s="3" t="s">
        <v>16</v>
      </c>
      <c r="J244" s="3" t="s">
        <v>103</v>
      </c>
      <c r="K244" s="3" t="s">
        <v>50</v>
      </c>
      <c r="L244" s="4">
        <v>1</v>
      </c>
      <c r="M244" s="3">
        <v>550</v>
      </c>
      <c r="N244" s="3">
        <v>850</v>
      </c>
      <c r="O244" s="15">
        <f>Bike_Sales[[#This Row],[Order_Quantity]]*Bike_Sales[[#This Row],[Unit_Price]]</f>
        <v>850</v>
      </c>
      <c r="P244" s="15">
        <f>Bike_Sales[[#This Row],[Order_Quantity]]*Bike_Sales[[#This Row],[Unit_Cost]]</f>
        <v>550</v>
      </c>
      <c r="Q244" s="15">
        <f>Bike_Sales[[#This Row],[Total Sales]]-Bike_Sales[[#This Row],[Total Cost]]</f>
        <v>300</v>
      </c>
      <c r="R244" s="17">
        <f>Bike_Sales[[#This Row],[Profit]]/Bike_Sales[[#This Row],[Total Sales]]</f>
        <v>0.35294117647058826</v>
      </c>
      <c r="S244" s="16" t="str">
        <f t="shared" si="3"/>
        <v>25-34</v>
      </c>
    </row>
    <row r="245" spans="1:19" x14ac:dyDescent="0.35">
      <c r="A245" s="2">
        <v>44482</v>
      </c>
      <c r="B245" s="2" t="str">
        <f>TEXT(Bike_Sales[[#This Row],[Date]],"mmmm")</f>
        <v>October</v>
      </c>
      <c r="C245" s="19">
        <f>MONTH(Bike_Sales[[#This Row],[Date]])</f>
        <v>10</v>
      </c>
      <c r="D245" s="2" t="str">
        <f>TEXT(Bike_Sales[[#This Row],[Date]],"dddd")</f>
        <v>Wednesday</v>
      </c>
      <c r="E245" s="3">
        <v>29</v>
      </c>
      <c r="F245" s="3" t="s">
        <v>126</v>
      </c>
      <c r="G245" s="3" t="s">
        <v>18</v>
      </c>
      <c r="H245" s="3" t="s">
        <v>21</v>
      </c>
      <c r="I245" s="3" t="s">
        <v>11</v>
      </c>
      <c r="J245" s="3" t="s">
        <v>104</v>
      </c>
      <c r="K245" s="3" t="s">
        <v>20</v>
      </c>
      <c r="L245" s="4">
        <v>1</v>
      </c>
      <c r="M245" s="3">
        <v>530</v>
      </c>
      <c r="N245" s="3">
        <v>840</v>
      </c>
      <c r="O245" s="15">
        <f>Bike_Sales[[#This Row],[Order_Quantity]]*Bike_Sales[[#This Row],[Unit_Price]]</f>
        <v>840</v>
      </c>
      <c r="P245" s="15">
        <f>Bike_Sales[[#This Row],[Order_Quantity]]*Bike_Sales[[#This Row],[Unit_Cost]]</f>
        <v>530</v>
      </c>
      <c r="Q245" s="15">
        <f>Bike_Sales[[#This Row],[Total Sales]]-Bike_Sales[[#This Row],[Total Cost]]</f>
        <v>310</v>
      </c>
      <c r="R245" s="17">
        <f>Bike_Sales[[#This Row],[Profit]]/Bike_Sales[[#This Row],[Total Sales]]</f>
        <v>0.36904761904761907</v>
      </c>
      <c r="S245" s="16" t="str">
        <f t="shared" si="3"/>
        <v>25-34</v>
      </c>
    </row>
    <row r="246" spans="1:19" x14ac:dyDescent="0.35">
      <c r="A246" s="2">
        <v>44484</v>
      </c>
      <c r="B246" s="2" t="str">
        <f>TEXT(Bike_Sales[[#This Row],[Date]],"mmmm")</f>
        <v>October</v>
      </c>
      <c r="C246" s="19">
        <f>MONTH(Bike_Sales[[#This Row],[Date]])</f>
        <v>10</v>
      </c>
      <c r="D246" s="2" t="str">
        <f>TEXT(Bike_Sales[[#This Row],[Date]],"dddd")</f>
        <v>Friday</v>
      </c>
      <c r="E246" s="3">
        <v>29</v>
      </c>
      <c r="F246" s="3" t="s">
        <v>135</v>
      </c>
      <c r="G246" s="3" t="s">
        <v>129</v>
      </c>
      <c r="H246" s="3" t="s">
        <v>15</v>
      </c>
      <c r="I246" s="3" t="s">
        <v>11</v>
      </c>
      <c r="J246" s="3" t="s">
        <v>104</v>
      </c>
      <c r="K246" s="3" t="s">
        <v>53</v>
      </c>
      <c r="L246" s="4">
        <v>1</v>
      </c>
      <c r="M246" s="3">
        <v>500</v>
      </c>
      <c r="N246" s="3">
        <v>800</v>
      </c>
      <c r="O246" s="15">
        <f>Bike_Sales[[#This Row],[Order_Quantity]]*Bike_Sales[[#This Row],[Unit_Price]]</f>
        <v>800</v>
      </c>
      <c r="P246" s="15">
        <f>Bike_Sales[[#This Row],[Order_Quantity]]*Bike_Sales[[#This Row],[Unit_Cost]]</f>
        <v>500</v>
      </c>
      <c r="Q246" s="15">
        <f>Bike_Sales[[#This Row],[Total Sales]]-Bike_Sales[[#This Row],[Total Cost]]</f>
        <v>300</v>
      </c>
      <c r="R246" s="17">
        <f>Bike_Sales[[#This Row],[Profit]]/Bike_Sales[[#This Row],[Total Sales]]</f>
        <v>0.375</v>
      </c>
      <c r="S246" s="16" t="str">
        <f t="shared" si="3"/>
        <v>25-34</v>
      </c>
    </row>
    <row r="247" spans="1:19" x14ac:dyDescent="0.35">
      <c r="A247" s="2">
        <v>44488</v>
      </c>
      <c r="B247" s="2" t="str">
        <f>TEXT(Bike_Sales[[#This Row],[Date]],"mmmm")</f>
        <v>October</v>
      </c>
      <c r="C247" s="19">
        <f>MONTH(Bike_Sales[[#This Row],[Date]])</f>
        <v>10</v>
      </c>
      <c r="D247" s="2" t="str">
        <f>TEXT(Bike_Sales[[#This Row],[Date]],"dddd")</f>
        <v>Tuesday</v>
      </c>
      <c r="E247" s="3">
        <v>29</v>
      </c>
      <c r="F247" s="3" t="s">
        <v>126</v>
      </c>
      <c r="G247" s="3" t="s">
        <v>18</v>
      </c>
      <c r="H247" s="3" t="s">
        <v>24</v>
      </c>
      <c r="I247" s="3" t="s">
        <v>16</v>
      </c>
      <c r="J247" s="3" t="s">
        <v>101</v>
      </c>
      <c r="K247" s="3" t="s">
        <v>49</v>
      </c>
      <c r="L247" s="4">
        <v>3</v>
      </c>
      <c r="M247" s="3">
        <v>550</v>
      </c>
      <c r="N247" s="3">
        <v>850</v>
      </c>
      <c r="O247" s="15">
        <f>Bike_Sales[[#This Row],[Order_Quantity]]*Bike_Sales[[#This Row],[Unit_Price]]</f>
        <v>2550</v>
      </c>
      <c r="P247" s="15">
        <f>Bike_Sales[[#This Row],[Order_Quantity]]*Bike_Sales[[#This Row],[Unit_Cost]]</f>
        <v>1650</v>
      </c>
      <c r="Q247" s="15">
        <f>Bike_Sales[[#This Row],[Total Sales]]-Bike_Sales[[#This Row],[Total Cost]]</f>
        <v>900</v>
      </c>
      <c r="R247" s="17">
        <f>Bike_Sales[[#This Row],[Profit]]/Bike_Sales[[#This Row],[Total Sales]]</f>
        <v>0.35294117647058826</v>
      </c>
      <c r="S247" s="16" t="str">
        <f t="shared" si="3"/>
        <v>25-34</v>
      </c>
    </row>
    <row r="248" spans="1:19" x14ac:dyDescent="0.35">
      <c r="A248" s="2">
        <v>44488</v>
      </c>
      <c r="B248" s="2" t="str">
        <f>TEXT(Bike_Sales[[#This Row],[Date]],"mmmm")</f>
        <v>October</v>
      </c>
      <c r="C248" s="19">
        <f>MONTH(Bike_Sales[[#This Row],[Date]])</f>
        <v>10</v>
      </c>
      <c r="D248" s="2" t="str">
        <f>TEXT(Bike_Sales[[#This Row],[Date]],"dddd")</f>
        <v>Tuesday</v>
      </c>
      <c r="E248" s="3">
        <v>29</v>
      </c>
      <c r="F248" s="3" t="s">
        <v>126</v>
      </c>
      <c r="G248" s="3" t="s">
        <v>39</v>
      </c>
      <c r="H248" s="3" t="s">
        <v>40</v>
      </c>
      <c r="I248" s="3" t="s">
        <v>16</v>
      </c>
      <c r="J248" s="3" t="s">
        <v>101</v>
      </c>
      <c r="K248" s="3" t="s">
        <v>49</v>
      </c>
      <c r="L248" s="4">
        <v>1</v>
      </c>
      <c r="M248" s="3">
        <v>550</v>
      </c>
      <c r="N248" s="3">
        <v>850</v>
      </c>
      <c r="O248" s="15">
        <f>Bike_Sales[[#This Row],[Order_Quantity]]*Bike_Sales[[#This Row],[Unit_Price]]</f>
        <v>850</v>
      </c>
      <c r="P248" s="15">
        <f>Bike_Sales[[#This Row],[Order_Quantity]]*Bike_Sales[[#This Row],[Unit_Cost]]</f>
        <v>550</v>
      </c>
      <c r="Q248" s="15">
        <f>Bike_Sales[[#This Row],[Total Sales]]-Bike_Sales[[#This Row],[Total Cost]]</f>
        <v>300</v>
      </c>
      <c r="R248" s="17">
        <f>Bike_Sales[[#This Row],[Profit]]/Bike_Sales[[#This Row],[Total Sales]]</f>
        <v>0.35294117647058826</v>
      </c>
      <c r="S248" s="16" t="str">
        <f t="shared" si="3"/>
        <v>25-34</v>
      </c>
    </row>
    <row r="249" spans="1:19" x14ac:dyDescent="0.35">
      <c r="A249" s="2">
        <v>44489</v>
      </c>
      <c r="B249" s="2" t="str">
        <f>TEXT(Bike_Sales[[#This Row],[Date]],"mmmm")</f>
        <v>October</v>
      </c>
      <c r="C249" s="19">
        <f>MONTH(Bike_Sales[[#This Row],[Date]])</f>
        <v>10</v>
      </c>
      <c r="D249" s="2" t="str">
        <f>TEXT(Bike_Sales[[#This Row],[Date]],"dddd")</f>
        <v>Wednesday</v>
      </c>
      <c r="E249" s="3">
        <v>29</v>
      </c>
      <c r="F249" s="3" t="s">
        <v>135</v>
      </c>
      <c r="G249" s="3" t="s">
        <v>129</v>
      </c>
      <c r="H249" s="3" t="s">
        <v>15</v>
      </c>
      <c r="I249" s="3" t="s">
        <v>11</v>
      </c>
      <c r="J249" s="3" t="s">
        <v>104</v>
      </c>
      <c r="K249" s="3" t="s">
        <v>53</v>
      </c>
      <c r="L249" s="4">
        <v>1</v>
      </c>
      <c r="M249" s="3">
        <v>500</v>
      </c>
      <c r="N249" s="3">
        <v>800</v>
      </c>
      <c r="O249" s="15">
        <f>Bike_Sales[[#This Row],[Order_Quantity]]*Bike_Sales[[#This Row],[Unit_Price]]</f>
        <v>800</v>
      </c>
      <c r="P249" s="15">
        <f>Bike_Sales[[#This Row],[Order_Quantity]]*Bike_Sales[[#This Row],[Unit_Cost]]</f>
        <v>500</v>
      </c>
      <c r="Q249" s="15">
        <f>Bike_Sales[[#This Row],[Total Sales]]-Bike_Sales[[#This Row],[Total Cost]]</f>
        <v>300</v>
      </c>
      <c r="R249" s="17">
        <f>Bike_Sales[[#This Row],[Profit]]/Bike_Sales[[#This Row],[Total Sales]]</f>
        <v>0.375</v>
      </c>
      <c r="S249" s="16" t="str">
        <f t="shared" si="3"/>
        <v>25-34</v>
      </c>
    </row>
    <row r="250" spans="1:19" x14ac:dyDescent="0.35">
      <c r="A250" s="2">
        <v>44489</v>
      </c>
      <c r="B250" s="2" t="str">
        <f>TEXT(Bike_Sales[[#This Row],[Date]],"mmmm")</f>
        <v>October</v>
      </c>
      <c r="C250" s="19">
        <f>MONTH(Bike_Sales[[#This Row],[Date]])</f>
        <v>10</v>
      </c>
      <c r="D250" s="2" t="str">
        <f>TEXT(Bike_Sales[[#This Row],[Date]],"dddd")</f>
        <v>Wednesday</v>
      </c>
      <c r="E250" s="3">
        <v>29</v>
      </c>
      <c r="F250" s="3" t="s">
        <v>126</v>
      </c>
      <c r="G250" s="3" t="s">
        <v>13</v>
      </c>
      <c r="H250" s="3" t="s">
        <v>127</v>
      </c>
      <c r="I250" s="3" t="s">
        <v>11</v>
      </c>
      <c r="J250" s="3" t="s">
        <v>101</v>
      </c>
      <c r="K250" s="3" t="s">
        <v>32</v>
      </c>
      <c r="L250" s="4">
        <v>1</v>
      </c>
      <c r="M250" s="3">
        <v>700</v>
      </c>
      <c r="N250" s="3">
        <v>1100</v>
      </c>
      <c r="O250" s="15">
        <f>Bike_Sales[[#This Row],[Order_Quantity]]*Bike_Sales[[#This Row],[Unit_Price]]</f>
        <v>1100</v>
      </c>
      <c r="P250" s="15">
        <f>Bike_Sales[[#This Row],[Order_Quantity]]*Bike_Sales[[#This Row],[Unit_Cost]]</f>
        <v>700</v>
      </c>
      <c r="Q250" s="15">
        <f>Bike_Sales[[#This Row],[Total Sales]]-Bike_Sales[[#This Row],[Total Cost]]</f>
        <v>400</v>
      </c>
      <c r="R250" s="17">
        <f>Bike_Sales[[#This Row],[Profit]]/Bike_Sales[[#This Row],[Total Sales]]</f>
        <v>0.36363636363636365</v>
      </c>
      <c r="S250" s="16" t="str">
        <f t="shared" si="3"/>
        <v>25-34</v>
      </c>
    </row>
    <row r="251" spans="1:19" x14ac:dyDescent="0.35">
      <c r="A251" s="2">
        <v>44492</v>
      </c>
      <c r="B251" s="2" t="str">
        <f>TEXT(Bike_Sales[[#This Row],[Date]],"mmmm")</f>
        <v>October</v>
      </c>
      <c r="C251" s="19">
        <f>MONTH(Bike_Sales[[#This Row],[Date]])</f>
        <v>10</v>
      </c>
      <c r="D251" s="2" t="str">
        <f>TEXT(Bike_Sales[[#This Row],[Date]],"dddd")</f>
        <v>Saturday</v>
      </c>
      <c r="E251" s="3">
        <v>29</v>
      </c>
      <c r="F251" s="3" t="s">
        <v>126</v>
      </c>
      <c r="G251" s="3" t="s">
        <v>129</v>
      </c>
      <c r="H251" s="3" t="s">
        <v>15</v>
      </c>
      <c r="I251" s="3" t="s">
        <v>11</v>
      </c>
      <c r="J251" s="3" t="s">
        <v>104</v>
      </c>
      <c r="K251" s="3" t="s">
        <v>52</v>
      </c>
      <c r="L251" s="4">
        <v>1</v>
      </c>
      <c r="M251" s="3">
        <v>530</v>
      </c>
      <c r="N251" s="3">
        <v>840</v>
      </c>
      <c r="O251" s="15">
        <f>Bike_Sales[[#This Row],[Order_Quantity]]*Bike_Sales[[#This Row],[Unit_Price]]</f>
        <v>840</v>
      </c>
      <c r="P251" s="15">
        <f>Bike_Sales[[#This Row],[Order_Quantity]]*Bike_Sales[[#This Row],[Unit_Cost]]</f>
        <v>530</v>
      </c>
      <c r="Q251" s="15">
        <f>Bike_Sales[[#This Row],[Total Sales]]-Bike_Sales[[#This Row],[Total Cost]]</f>
        <v>310</v>
      </c>
      <c r="R251" s="17">
        <f>Bike_Sales[[#This Row],[Profit]]/Bike_Sales[[#This Row],[Total Sales]]</f>
        <v>0.36904761904761907</v>
      </c>
      <c r="S251" s="16" t="str">
        <f t="shared" si="3"/>
        <v>25-34</v>
      </c>
    </row>
    <row r="252" spans="1:19" x14ac:dyDescent="0.35">
      <c r="A252" s="2">
        <v>44498</v>
      </c>
      <c r="B252" s="2" t="str">
        <f>TEXT(Bike_Sales[[#This Row],[Date]],"mmmm")</f>
        <v>October</v>
      </c>
      <c r="C252" s="19">
        <f>MONTH(Bike_Sales[[#This Row],[Date]])</f>
        <v>10</v>
      </c>
      <c r="D252" s="2" t="str">
        <f>TEXT(Bike_Sales[[#This Row],[Date]],"dddd")</f>
        <v>Friday</v>
      </c>
      <c r="E252" s="3">
        <v>29</v>
      </c>
      <c r="F252" s="3" t="s">
        <v>135</v>
      </c>
      <c r="G252" s="3" t="s">
        <v>18</v>
      </c>
      <c r="H252" s="3" t="s">
        <v>24</v>
      </c>
      <c r="I252" s="3" t="s">
        <v>11</v>
      </c>
      <c r="J252" s="3" t="s">
        <v>101</v>
      </c>
      <c r="K252" s="3" t="s">
        <v>31</v>
      </c>
      <c r="L252" s="4">
        <v>3</v>
      </c>
      <c r="M252" s="3">
        <v>580</v>
      </c>
      <c r="N252" s="3">
        <v>920</v>
      </c>
      <c r="O252" s="15">
        <f>Bike_Sales[[#This Row],[Order_Quantity]]*Bike_Sales[[#This Row],[Unit_Price]]</f>
        <v>2760</v>
      </c>
      <c r="P252" s="15">
        <f>Bike_Sales[[#This Row],[Order_Quantity]]*Bike_Sales[[#This Row],[Unit_Cost]]</f>
        <v>1740</v>
      </c>
      <c r="Q252" s="15">
        <f>Bike_Sales[[#This Row],[Total Sales]]-Bike_Sales[[#This Row],[Total Cost]]</f>
        <v>1020</v>
      </c>
      <c r="R252" s="17">
        <f>Bike_Sales[[#This Row],[Profit]]/Bike_Sales[[#This Row],[Total Sales]]</f>
        <v>0.36956521739130432</v>
      </c>
      <c r="S252" s="16" t="str">
        <f t="shared" si="3"/>
        <v>25-34</v>
      </c>
    </row>
    <row r="253" spans="1:19" x14ac:dyDescent="0.35">
      <c r="A253" s="2">
        <v>44503</v>
      </c>
      <c r="B253" s="2" t="str">
        <f>TEXT(Bike_Sales[[#This Row],[Date]],"mmmm")</f>
        <v>November</v>
      </c>
      <c r="C253" s="19">
        <f>MONTH(Bike_Sales[[#This Row],[Date]])</f>
        <v>11</v>
      </c>
      <c r="D253" s="2" t="str">
        <f>TEXT(Bike_Sales[[#This Row],[Date]],"dddd")</f>
        <v>Wednesday</v>
      </c>
      <c r="E253" s="3">
        <v>29</v>
      </c>
      <c r="F253" s="3" t="s">
        <v>126</v>
      </c>
      <c r="G253" s="3" t="s">
        <v>33</v>
      </c>
      <c r="H253" s="3" t="s">
        <v>56</v>
      </c>
      <c r="I253" s="3" t="s">
        <v>11</v>
      </c>
      <c r="J253" s="3" t="s">
        <v>102</v>
      </c>
      <c r="K253" s="3" t="s">
        <v>29</v>
      </c>
      <c r="L253" s="4">
        <v>1</v>
      </c>
      <c r="M253" s="3">
        <v>900</v>
      </c>
      <c r="N253" s="3">
        <v>1400</v>
      </c>
      <c r="O253" s="15">
        <f>Bike_Sales[[#This Row],[Order_Quantity]]*Bike_Sales[[#This Row],[Unit_Price]]</f>
        <v>1400</v>
      </c>
      <c r="P253" s="15">
        <f>Bike_Sales[[#This Row],[Order_Quantity]]*Bike_Sales[[#This Row],[Unit_Cost]]</f>
        <v>900</v>
      </c>
      <c r="Q253" s="15">
        <f>Bike_Sales[[#This Row],[Total Sales]]-Bike_Sales[[#This Row],[Total Cost]]</f>
        <v>500</v>
      </c>
      <c r="R253" s="17">
        <f>Bike_Sales[[#This Row],[Profit]]/Bike_Sales[[#This Row],[Total Sales]]</f>
        <v>0.35714285714285715</v>
      </c>
      <c r="S253" s="16" t="str">
        <f t="shared" si="3"/>
        <v>25-34</v>
      </c>
    </row>
    <row r="254" spans="1:19" x14ac:dyDescent="0.35">
      <c r="A254" s="2">
        <v>44506</v>
      </c>
      <c r="B254" s="2" t="str">
        <f>TEXT(Bike_Sales[[#This Row],[Date]],"mmmm")</f>
        <v>November</v>
      </c>
      <c r="C254" s="19">
        <f>MONTH(Bike_Sales[[#This Row],[Date]])</f>
        <v>11</v>
      </c>
      <c r="D254" s="2" t="str">
        <f>TEXT(Bike_Sales[[#This Row],[Date]],"dddd")</f>
        <v>Saturday</v>
      </c>
      <c r="E254" s="3">
        <v>29</v>
      </c>
      <c r="F254" s="3" t="s">
        <v>135</v>
      </c>
      <c r="G254" s="3" t="s">
        <v>39</v>
      </c>
      <c r="H254" s="3" t="s">
        <v>76</v>
      </c>
      <c r="I254" s="3" t="s">
        <v>11</v>
      </c>
      <c r="J254" s="3" t="s">
        <v>104</v>
      </c>
      <c r="K254" s="3" t="s">
        <v>34</v>
      </c>
      <c r="L254" s="4">
        <v>1</v>
      </c>
      <c r="M254" s="3">
        <v>500</v>
      </c>
      <c r="N254" s="3">
        <v>800</v>
      </c>
      <c r="O254" s="15">
        <f>Bike_Sales[[#This Row],[Order_Quantity]]*Bike_Sales[[#This Row],[Unit_Price]]</f>
        <v>800</v>
      </c>
      <c r="P254" s="15">
        <f>Bike_Sales[[#This Row],[Order_Quantity]]*Bike_Sales[[#This Row],[Unit_Cost]]</f>
        <v>500</v>
      </c>
      <c r="Q254" s="15">
        <f>Bike_Sales[[#This Row],[Total Sales]]-Bike_Sales[[#This Row],[Total Cost]]</f>
        <v>300</v>
      </c>
      <c r="R254" s="17">
        <f>Bike_Sales[[#This Row],[Profit]]/Bike_Sales[[#This Row],[Total Sales]]</f>
        <v>0.375</v>
      </c>
      <c r="S254" s="16" t="str">
        <f t="shared" si="3"/>
        <v>25-34</v>
      </c>
    </row>
    <row r="255" spans="1:19" x14ac:dyDescent="0.35">
      <c r="A255" s="2">
        <v>44506</v>
      </c>
      <c r="B255" s="2" t="str">
        <f>TEXT(Bike_Sales[[#This Row],[Date]],"mmmm")</f>
        <v>November</v>
      </c>
      <c r="C255" s="19">
        <f>MONTH(Bike_Sales[[#This Row],[Date]])</f>
        <v>11</v>
      </c>
      <c r="D255" s="2" t="str">
        <f>TEXT(Bike_Sales[[#This Row],[Date]],"dddd")</f>
        <v>Saturday</v>
      </c>
      <c r="E255" s="3">
        <v>29</v>
      </c>
      <c r="F255" s="3" t="s">
        <v>135</v>
      </c>
      <c r="G255" s="3" t="s">
        <v>129</v>
      </c>
      <c r="H255" s="3" t="s">
        <v>15</v>
      </c>
      <c r="I255" s="3" t="s">
        <v>11</v>
      </c>
      <c r="J255" s="3" t="s">
        <v>104</v>
      </c>
      <c r="K255" s="3" t="s">
        <v>53</v>
      </c>
      <c r="L255" s="4">
        <v>1</v>
      </c>
      <c r="M255" s="3">
        <v>500</v>
      </c>
      <c r="N255" s="3">
        <v>800</v>
      </c>
      <c r="O255" s="15">
        <f>Bike_Sales[[#This Row],[Order_Quantity]]*Bike_Sales[[#This Row],[Unit_Price]]</f>
        <v>800</v>
      </c>
      <c r="P255" s="15">
        <f>Bike_Sales[[#This Row],[Order_Quantity]]*Bike_Sales[[#This Row],[Unit_Cost]]</f>
        <v>500</v>
      </c>
      <c r="Q255" s="15">
        <f>Bike_Sales[[#This Row],[Total Sales]]-Bike_Sales[[#This Row],[Total Cost]]</f>
        <v>300</v>
      </c>
      <c r="R255" s="17">
        <f>Bike_Sales[[#This Row],[Profit]]/Bike_Sales[[#This Row],[Total Sales]]</f>
        <v>0.375</v>
      </c>
      <c r="S255" s="16" t="str">
        <f t="shared" si="3"/>
        <v>25-34</v>
      </c>
    </row>
    <row r="256" spans="1:19" x14ac:dyDescent="0.35">
      <c r="A256" s="2">
        <v>44507</v>
      </c>
      <c r="B256" s="2" t="str">
        <f>TEXT(Bike_Sales[[#This Row],[Date]],"mmmm")</f>
        <v>November</v>
      </c>
      <c r="C256" s="19">
        <f>MONTH(Bike_Sales[[#This Row],[Date]])</f>
        <v>11</v>
      </c>
      <c r="D256" s="2" t="str">
        <f>TEXT(Bike_Sales[[#This Row],[Date]],"dddd")</f>
        <v>Sunday</v>
      </c>
      <c r="E256" s="3">
        <v>29</v>
      </c>
      <c r="F256" s="3" t="s">
        <v>126</v>
      </c>
      <c r="G256" s="3" t="s">
        <v>9</v>
      </c>
      <c r="H256" s="3" t="s">
        <v>10</v>
      </c>
      <c r="I256" s="3" t="s">
        <v>16</v>
      </c>
      <c r="J256" s="3" t="s">
        <v>101</v>
      </c>
      <c r="K256" s="3" t="s">
        <v>17</v>
      </c>
      <c r="L256" s="4">
        <v>1</v>
      </c>
      <c r="M256" s="3">
        <v>550</v>
      </c>
      <c r="N256" s="3">
        <v>850</v>
      </c>
      <c r="O256" s="15">
        <f>Bike_Sales[[#This Row],[Order_Quantity]]*Bike_Sales[[#This Row],[Unit_Price]]</f>
        <v>850</v>
      </c>
      <c r="P256" s="15">
        <f>Bike_Sales[[#This Row],[Order_Quantity]]*Bike_Sales[[#This Row],[Unit_Cost]]</f>
        <v>550</v>
      </c>
      <c r="Q256" s="15">
        <f>Bike_Sales[[#This Row],[Total Sales]]-Bike_Sales[[#This Row],[Total Cost]]</f>
        <v>300</v>
      </c>
      <c r="R256" s="17">
        <f>Bike_Sales[[#This Row],[Profit]]/Bike_Sales[[#This Row],[Total Sales]]</f>
        <v>0.35294117647058826</v>
      </c>
      <c r="S256" s="16" t="str">
        <f t="shared" si="3"/>
        <v>25-34</v>
      </c>
    </row>
    <row r="257" spans="1:19" x14ac:dyDescent="0.35">
      <c r="A257" s="2">
        <v>44513</v>
      </c>
      <c r="B257" s="2" t="str">
        <f>TEXT(Bike_Sales[[#This Row],[Date]],"mmmm")</f>
        <v>November</v>
      </c>
      <c r="C257" s="19">
        <f>MONTH(Bike_Sales[[#This Row],[Date]])</f>
        <v>11</v>
      </c>
      <c r="D257" s="2" t="str">
        <f>TEXT(Bike_Sales[[#This Row],[Date]],"dddd")</f>
        <v>Saturday</v>
      </c>
      <c r="E257" s="3">
        <v>29</v>
      </c>
      <c r="F257" s="3" t="s">
        <v>135</v>
      </c>
      <c r="G257" s="3" t="s">
        <v>9</v>
      </c>
      <c r="H257" s="3" t="s">
        <v>10</v>
      </c>
      <c r="I257" s="3" t="s">
        <v>16</v>
      </c>
      <c r="J257" s="3" t="s">
        <v>103</v>
      </c>
      <c r="K257" s="3" t="s">
        <v>45</v>
      </c>
      <c r="L257" s="4">
        <v>1</v>
      </c>
      <c r="M257" s="3">
        <v>550</v>
      </c>
      <c r="N257" s="3">
        <v>850</v>
      </c>
      <c r="O257" s="15">
        <f>Bike_Sales[[#This Row],[Order_Quantity]]*Bike_Sales[[#This Row],[Unit_Price]]</f>
        <v>850</v>
      </c>
      <c r="P257" s="15">
        <f>Bike_Sales[[#This Row],[Order_Quantity]]*Bike_Sales[[#This Row],[Unit_Cost]]</f>
        <v>550</v>
      </c>
      <c r="Q257" s="15">
        <f>Bike_Sales[[#This Row],[Total Sales]]-Bike_Sales[[#This Row],[Total Cost]]</f>
        <v>300</v>
      </c>
      <c r="R257" s="17">
        <f>Bike_Sales[[#This Row],[Profit]]/Bike_Sales[[#This Row],[Total Sales]]</f>
        <v>0.35294117647058826</v>
      </c>
      <c r="S257" s="16" t="str">
        <f t="shared" si="3"/>
        <v>25-34</v>
      </c>
    </row>
    <row r="258" spans="1:19" x14ac:dyDescent="0.35">
      <c r="A258" s="2">
        <v>44520</v>
      </c>
      <c r="B258" s="2" t="str">
        <f>TEXT(Bike_Sales[[#This Row],[Date]],"mmmm")</f>
        <v>November</v>
      </c>
      <c r="C258" s="19">
        <f>MONTH(Bike_Sales[[#This Row],[Date]])</f>
        <v>11</v>
      </c>
      <c r="D258" s="2" t="str">
        <f>TEXT(Bike_Sales[[#This Row],[Date]],"dddd")</f>
        <v>Saturday</v>
      </c>
      <c r="E258" s="3">
        <v>29</v>
      </c>
      <c r="F258" s="3" t="s">
        <v>126</v>
      </c>
      <c r="G258" s="3" t="s">
        <v>9</v>
      </c>
      <c r="H258" s="3" t="s">
        <v>10</v>
      </c>
      <c r="I258" s="3" t="s">
        <v>16</v>
      </c>
      <c r="J258" s="3" t="s">
        <v>101</v>
      </c>
      <c r="K258" s="3" t="s">
        <v>17</v>
      </c>
      <c r="L258" s="4">
        <v>1</v>
      </c>
      <c r="M258" s="3">
        <v>550</v>
      </c>
      <c r="N258" s="3">
        <v>850</v>
      </c>
      <c r="O258" s="15">
        <f>Bike_Sales[[#This Row],[Order_Quantity]]*Bike_Sales[[#This Row],[Unit_Price]]</f>
        <v>850</v>
      </c>
      <c r="P258" s="15">
        <f>Bike_Sales[[#This Row],[Order_Quantity]]*Bike_Sales[[#This Row],[Unit_Cost]]</f>
        <v>550</v>
      </c>
      <c r="Q258" s="15">
        <f>Bike_Sales[[#This Row],[Total Sales]]-Bike_Sales[[#This Row],[Total Cost]]</f>
        <v>300</v>
      </c>
      <c r="R258" s="17">
        <f>Bike_Sales[[#This Row],[Profit]]/Bike_Sales[[#This Row],[Total Sales]]</f>
        <v>0.35294117647058826</v>
      </c>
      <c r="S258" s="16" t="str">
        <f t="shared" ref="S258:S321" si="4">IF(E258&lt;25,"Under 25",IF(E258&lt;35,"25-34",IF(E258&lt;45,"35-44",IF(E258&lt;55,"45-54","55+"))))</f>
        <v>25-34</v>
      </c>
    </row>
    <row r="259" spans="1:19" x14ac:dyDescent="0.35">
      <c r="A259" s="2">
        <v>44521</v>
      </c>
      <c r="B259" s="2" t="str">
        <f>TEXT(Bike_Sales[[#This Row],[Date]],"mmmm")</f>
        <v>November</v>
      </c>
      <c r="C259" s="19">
        <f>MONTH(Bike_Sales[[#This Row],[Date]])</f>
        <v>11</v>
      </c>
      <c r="D259" s="2" t="str">
        <f>TEXT(Bike_Sales[[#This Row],[Date]],"dddd")</f>
        <v>Sunday</v>
      </c>
      <c r="E259" s="3">
        <v>29</v>
      </c>
      <c r="F259" s="3" t="s">
        <v>126</v>
      </c>
      <c r="G259" s="3" t="s">
        <v>129</v>
      </c>
      <c r="H259" s="3" t="s">
        <v>15</v>
      </c>
      <c r="I259" s="3" t="s">
        <v>16</v>
      </c>
      <c r="J259" s="3" t="s">
        <v>101</v>
      </c>
      <c r="K259" s="3" t="s">
        <v>17</v>
      </c>
      <c r="L259" s="4">
        <v>2</v>
      </c>
      <c r="M259" s="3">
        <v>550</v>
      </c>
      <c r="N259" s="3">
        <v>850</v>
      </c>
      <c r="O259" s="15">
        <f>Bike_Sales[[#This Row],[Order_Quantity]]*Bike_Sales[[#This Row],[Unit_Price]]</f>
        <v>1700</v>
      </c>
      <c r="P259" s="15">
        <f>Bike_Sales[[#This Row],[Order_Quantity]]*Bike_Sales[[#This Row],[Unit_Cost]]</f>
        <v>1100</v>
      </c>
      <c r="Q259" s="15">
        <f>Bike_Sales[[#This Row],[Total Sales]]-Bike_Sales[[#This Row],[Total Cost]]</f>
        <v>600</v>
      </c>
      <c r="R259" s="17">
        <f>Bike_Sales[[#This Row],[Profit]]/Bike_Sales[[#This Row],[Total Sales]]</f>
        <v>0.35294117647058826</v>
      </c>
      <c r="S259" s="16" t="str">
        <f t="shared" si="4"/>
        <v>25-34</v>
      </c>
    </row>
    <row r="260" spans="1:19" x14ac:dyDescent="0.35">
      <c r="A260" s="2">
        <v>44523</v>
      </c>
      <c r="B260" s="2" t="str">
        <f>TEXT(Bike_Sales[[#This Row],[Date]],"mmmm")</f>
        <v>November</v>
      </c>
      <c r="C260" s="19">
        <f>MONTH(Bike_Sales[[#This Row],[Date]])</f>
        <v>11</v>
      </c>
      <c r="D260" s="2" t="str">
        <f>TEXT(Bike_Sales[[#This Row],[Date]],"dddd")</f>
        <v>Tuesday</v>
      </c>
      <c r="E260" s="3">
        <v>29</v>
      </c>
      <c r="F260" s="3" t="s">
        <v>135</v>
      </c>
      <c r="G260" s="3" t="s">
        <v>9</v>
      </c>
      <c r="H260" s="3" t="s">
        <v>37</v>
      </c>
      <c r="I260" s="3" t="s">
        <v>11</v>
      </c>
      <c r="J260" s="3" t="s">
        <v>102</v>
      </c>
      <c r="K260" s="3" t="s">
        <v>62</v>
      </c>
      <c r="L260" s="4">
        <v>1</v>
      </c>
      <c r="M260" s="3">
        <v>580</v>
      </c>
      <c r="N260" s="3">
        <v>920</v>
      </c>
      <c r="O260" s="15">
        <f>Bike_Sales[[#This Row],[Order_Quantity]]*Bike_Sales[[#This Row],[Unit_Price]]</f>
        <v>920</v>
      </c>
      <c r="P260" s="15">
        <f>Bike_Sales[[#This Row],[Order_Quantity]]*Bike_Sales[[#This Row],[Unit_Cost]]</f>
        <v>580</v>
      </c>
      <c r="Q260" s="15">
        <f>Bike_Sales[[#This Row],[Total Sales]]-Bike_Sales[[#This Row],[Total Cost]]</f>
        <v>340</v>
      </c>
      <c r="R260" s="17">
        <f>Bike_Sales[[#This Row],[Profit]]/Bike_Sales[[#This Row],[Total Sales]]</f>
        <v>0.36956521739130432</v>
      </c>
      <c r="S260" s="16" t="str">
        <f t="shared" si="4"/>
        <v>25-34</v>
      </c>
    </row>
    <row r="261" spans="1:19" x14ac:dyDescent="0.35">
      <c r="A261" s="2">
        <v>44525</v>
      </c>
      <c r="B261" s="2" t="str">
        <f>TEXT(Bike_Sales[[#This Row],[Date]],"mmmm")</f>
        <v>November</v>
      </c>
      <c r="C261" s="19">
        <f>MONTH(Bike_Sales[[#This Row],[Date]])</f>
        <v>11</v>
      </c>
      <c r="D261" s="2" t="str">
        <f>TEXT(Bike_Sales[[#This Row],[Date]],"dddd")</f>
        <v>Thursday</v>
      </c>
      <c r="E261" s="3">
        <v>29</v>
      </c>
      <c r="F261" s="3" t="s">
        <v>135</v>
      </c>
      <c r="G261" s="3" t="s">
        <v>9</v>
      </c>
      <c r="H261" s="3" t="s">
        <v>10</v>
      </c>
      <c r="I261" s="3" t="s">
        <v>16</v>
      </c>
      <c r="J261" s="3" t="s">
        <v>103</v>
      </c>
      <c r="K261" s="3" t="s">
        <v>45</v>
      </c>
      <c r="L261" s="4">
        <v>3</v>
      </c>
      <c r="M261" s="3">
        <v>550</v>
      </c>
      <c r="N261" s="3">
        <v>850</v>
      </c>
      <c r="O261" s="15">
        <f>Bike_Sales[[#This Row],[Order_Quantity]]*Bike_Sales[[#This Row],[Unit_Price]]</f>
        <v>2550</v>
      </c>
      <c r="P261" s="15">
        <f>Bike_Sales[[#This Row],[Order_Quantity]]*Bike_Sales[[#This Row],[Unit_Cost]]</f>
        <v>1650</v>
      </c>
      <c r="Q261" s="15">
        <f>Bike_Sales[[#This Row],[Total Sales]]-Bike_Sales[[#This Row],[Total Cost]]</f>
        <v>900</v>
      </c>
      <c r="R261" s="17">
        <f>Bike_Sales[[#This Row],[Profit]]/Bike_Sales[[#This Row],[Total Sales]]</f>
        <v>0.35294117647058826</v>
      </c>
      <c r="S261" s="16" t="str">
        <f t="shared" si="4"/>
        <v>25-34</v>
      </c>
    </row>
    <row r="262" spans="1:19" x14ac:dyDescent="0.35">
      <c r="A262" s="2">
        <v>44525</v>
      </c>
      <c r="B262" s="2" t="str">
        <f>TEXT(Bike_Sales[[#This Row],[Date]],"mmmm")</f>
        <v>November</v>
      </c>
      <c r="C262" s="19">
        <f>MONTH(Bike_Sales[[#This Row],[Date]])</f>
        <v>11</v>
      </c>
      <c r="D262" s="2" t="str">
        <f>TEXT(Bike_Sales[[#This Row],[Date]],"dddd")</f>
        <v>Thursday</v>
      </c>
      <c r="E262" s="3">
        <v>29</v>
      </c>
      <c r="F262" s="3" t="s">
        <v>135</v>
      </c>
      <c r="G262" s="3" t="s">
        <v>39</v>
      </c>
      <c r="H262" s="3" t="s">
        <v>42</v>
      </c>
      <c r="I262" s="3" t="s">
        <v>11</v>
      </c>
      <c r="J262" s="3" t="s">
        <v>101</v>
      </c>
      <c r="K262" s="3" t="s">
        <v>88</v>
      </c>
      <c r="L262" s="4">
        <v>1</v>
      </c>
      <c r="M262" s="3">
        <v>620</v>
      </c>
      <c r="N262" s="3">
        <v>980</v>
      </c>
      <c r="O262" s="15">
        <f>Bike_Sales[[#This Row],[Order_Quantity]]*Bike_Sales[[#This Row],[Unit_Price]]</f>
        <v>980</v>
      </c>
      <c r="P262" s="15">
        <f>Bike_Sales[[#This Row],[Order_Quantity]]*Bike_Sales[[#This Row],[Unit_Cost]]</f>
        <v>620</v>
      </c>
      <c r="Q262" s="15">
        <f>Bike_Sales[[#This Row],[Total Sales]]-Bike_Sales[[#This Row],[Total Cost]]</f>
        <v>360</v>
      </c>
      <c r="R262" s="17">
        <f>Bike_Sales[[#This Row],[Profit]]/Bike_Sales[[#This Row],[Total Sales]]</f>
        <v>0.36734693877551022</v>
      </c>
      <c r="S262" s="16" t="str">
        <f t="shared" si="4"/>
        <v>25-34</v>
      </c>
    </row>
    <row r="263" spans="1:19" x14ac:dyDescent="0.35">
      <c r="A263" s="2">
        <v>44526</v>
      </c>
      <c r="B263" s="2" t="str">
        <f>TEXT(Bike_Sales[[#This Row],[Date]],"mmmm")</f>
        <v>November</v>
      </c>
      <c r="C263" s="19">
        <f>MONTH(Bike_Sales[[#This Row],[Date]])</f>
        <v>11</v>
      </c>
      <c r="D263" s="2" t="str">
        <f>TEXT(Bike_Sales[[#This Row],[Date]],"dddd")</f>
        <v>Friday</v>
      </c>
      <c r="E263" s="3">
        <v>29</v>
      </c>
      <c r="F263" s="3" t="s">
        <v>126</v>
      </c>
      <c r="G263" s="3" t="s">
        <v>33</v>
      </c>
      <c r="H263" s="3" t="s">
        <v>56</v>
      </c>
      <c r="I263" s="3" t="s">
        <v>11</v>
      </c>
      <c r="J263" s="3" t="s">
        <v>102</v>
      </c>
      <c r="K263" s="3" t="s">
        <v>29</v>
      </c>
      <c r="L263" s="4">
        <v>2</v>
      </c>
      <c r="M263" s="3">
        <v>900</v>
      </c>
      <c r="N263" s="3">
        <v>1400</v>
      </c>
      <c r="O263" s="15">
        <f>Bike_Sales[[#This Row],[Order_Quantity]]*Bike_Sales[[#This Row],[Unit_Price]]</f>
        <v>2800</v>
      </c>
      <c r="P263" s="15">
        <f>Bike_Sales[[#This Row],[Order_Quantity]]*Bike_Sales[[#This Row],[Unit_Cost]]</f>
        <v>1800</v>
      </c>
      <c r="Q263" s="15">
        <f>Bike_Sales[[#This Row],[Total Sales]]-Bike_Sales[[#This Row],[Total Cost]]</f>
        <v>1000</v>
      </c>
      <c r="R263" s="17">
        <f>Bike_Sales[[#This Row],[Profit]]/Bike_Sales[[#This Row],[Total Sales]]</f>
        <v>0.35714285714285715</v>
      </c>
      <c r="S263" s="16" t="str">
        <f t="shared" si="4"/>
        <v>25-34</v>
      </c>
    </row>
    <row r="264" spans="1:19" x14ac:dyDescent="0.35">
      <c r="A264" s="2">
        <v>44527</v>
      </c>
      <c r="B264" s="2" t="str">
        <f>TEXT(Bike_Sales[[#This Row],[Date]],"mmmm")</f>
        <v>November</v>
      </c>
      <c r="C264" s="19">
        <f>MONTH(Bike_Sales[[#This Row],[Date]])</f>
        <v>11</v>
      </c>
      <c r="D264" s="2" t="str">
        <f>TEXT(Bike_Sales[[#This Row],[Date]],"dddd")</f>
        <v>Saturday</v>
      </c>
      <c r="E264" s="3">
        <v>29</v>
      </c>
      <c r="F264" s="3" t="s">
        <v>126</v>
      </c>
      <c r="G264" s="3" t="s">
        <v>39</v>
      </c>
      <c r="H264" s="3" t="s">
        <v>76</v>
      </c>
      <c r="I264" s="3" t="s">
        <v>11</v>
      </c>
      <c r="J264" s="3" t="s">
        <v>102</v>
      </c>
      <c r="K264" s="3" t="s">
        <v>36</v>
      </c>
      <c r="L264" s="4">
        <v>2</v>
      </c>
      <c r="M264" s="3">
        <v>580</v>
      </c>
      <c r="N264" s="3">
        <v>920</v>
      </c>
      <c r="O264" s="15">
        <f>Bike_Sales[[#This Row],[Order_Quantity]]*Bike_Sales[[#This Row],[Unit_Price]]</f>
        <v>1840</v>
      </c>
      <c r="P264" s="15">
        <f>Bike_Sales[[#This Row],[Order_Quantity]]*Bike_Sales[[#This Row],[Unit_Cost]]</f>
        <v>1160</v>
      </c>
      <c r="Q264" s="15">
        <f>Bike_Sales[[#This Row],[Total Sales]]-Bike_Sales[[#This Row],[Total Cost]]</f>
        <v>680</v>
      </c>
      <c r="R264" s="17">
        <f>Bike_Sales[[#This Row],[Profit]]/Bike_Sales[[#This Row],[Total Sales]]</f>
        <v>0.36956521739130432</v>
      </c>
      <c r="S264" s="16" t="str">
        <f t="shared" si="4"/>
        <v>25-34</v>
      </c>
    </row>
    <row r="265" spans="1:19" x14ac:dyDescent="0.35">
      <c r="A265" s="2">
        <v>44527</v>
      </c>
      <c r="B265" s="2" t="str">
        <f>TEXT(Bike_Sales[[#This Row],[Date]],"mmmm")</f>
        <v>November</v>
      </c>
      <c r="C265" s="19">
        <f>MONTH(Bike_Sales[[#This Row],[Date]])</f>
        <v>11</v>
      </c>
      <c r="D265" s="2" t="str">
        <f>TEXT(Bike_Sales[[#This Row],[Date]],"dddd")</f>
        <v>Saturday</v>
      </c>
      <c r="E265" s="3">
        <v>29</v>
      </c>
      <c r="F265" s="3" t="s">
        <v>135</v>
      </c>
      <c r="G265" s="3" t="s">
        <v>9</v>
      </c>
      <c r="H265" s="3" t="s">
        <v>37</v>
      </c>
      <c r="I265" s="3" t="s">
        <v>11</v>
      </c>
      <c r="J265" s="3" t="s">
        <v>102</v>
      </c>
      <c r="K265" s="3" t="s">
        <v>62</v>
      </c>
      <c r="L265" s="4">
        <v>1</v>
      </c>
      <c r="M265" s="3">
        <v>580</v>
      </c>
      <c r="N265" s="3">
        <v>920</v>
      </c>
      <c r="O265" s="15">
        <f>Bike_Sales[[#This Row],[Order_Quantity]]*Bike_Sales[[#This Row],[Unit_Price]]</f>
        <v>920</v>
      </c>
      <c r="P265" s="15">
        <f>Bike_Sales[[#This Row],[Order_Quantity]]*Bike_Sales[[#This Row],[Unit_Cost]]</f>
        <v>580</v>
      </c>
      <c r="Q265" s="15">
        <f>Bike_Sales[[#This Row],[Total Sales]]-Bike_Sales[[#This Row],[Total Cost]]</f>
        <v>340</v>
      </c>
      <c r="R265" s="17">
        <f>Bike_Sales[[#This Row],[Profit]]/Bike_Sales[[#This Row],[Total Sales]]</f>
        <v>0.36956521739130432</v>
      </c>
      <c r="S265" s="16" t="str">
        <f t="shared" si="4"/>
        <v>25-34</v>
      </c>
    </row>
    <row r="266" spans="1:19" x14ac:dyDescent="0.35">
      <c r="A266" s="2">
        <v>44529</v>
      </c>
      <c r="B266" s="2" t="str">
        <f>TEXT(Bike_Sales[[#This Row],[Date]],"mmmm")</f>
        <v>November</v>
      </c>
      <c r="C266" s="19">
        <f>MONTH(Bike_Sales[[#This Row],[Date]])</f>
        <v>11</v>
      </c>
      <c r="D266" s="2" t="str">
        <f>TEXT(Bike_Sales[[#This Row],[Date]],"dddd")</f>
        <v>Monday</v>
      </c>
      <c r="E266" s="3">
        <v>29</v>
      </c>
      <c r="F266" s="3" t="s">
        <v>126</v>
      </c>
      <c r="G266" s="3" t="s">
        <v>39</v>
      </c>
      <c r="H266" s="3" t="s">
        <v>80</v>
      </c>
      <c r="I266" s="3" t="s">
        <v>11</v>
      </c>
      <c r="J266" s="3" t="s">
        <v>101</v>
      </c>
      <c r="K266" s="3" t="s">
        <v>85</v>
      </c>
      <c r="L266" s="4">
        <v>1</v>
      </c>
      <c r="M266" s="3">
        <v>620</v>
      </c>
      <c r="N266" s="3">
        <v>980</v>
      </c>
      <c r="O266" s="15">
        <f>Bike_Sales[[#This Row],[Order_Quantity]]*Bike_Sales[[#This Row],[Unit_Price]]</f>
        <v>980</v>
      </c>
      <c r="P266" s="15">
        <f>Bike_Sales[[#This Row],[Order_Quantity]]*Bike_Sales[[#This Row],[Unit_Cost]]</f>
        <v>620</v>
      </c>
      <c r="Q266" s="15">
        <f>Bike_Sales[[#This Row],[Total Sales]]-Bike_Sales[[#This Row],[Total Cost]]</f>
        <v>360</v>
      </c>
      <c r="R266" s="17">
        <f>Bike_Sales[[#This Row],[Profit]]/Bike_Sales[[#This Row],[Total Sales]]</f>
        <v>0.36734693877551022</v>
      </c>
      <c r="S266" s="16" t="str">
        <f t="shared" si="4"/>
        <v>25-34</v>
      </c>
    </row>
    <row r="267" spans="1:19" x14ac:dyDescent="0.35">
      <c r="A267" s="2">
        <v>44530</v>
      </c>
      <c r="B267" s="2" t="str">
        <f>TEXT(Bike_Sales[[#This Row],[Date]],"mmmm")</f>
        <v>November</v>
      </c>
      <c r="C267" s="19">
        <f>MONTH(Bike_Sales[[#This Row],[Date]])</f>
        <v>11</v>
      </c>
      <c r="D267" s="2" t="str">
        <f>TEXT(Bike_Sales[[#This Row],[Date]],"dddd")</f>
        <v>Tuesday</v>
      </c>
      <c r="E267" s="3">
        <v>29</v>
      </c>
      <c r="F267" s="3" t="s">
        <v>135</v>
      </c>
      <c r="G267" s="3" t="s">
        <v>9</v>
      </c>
      <c r="H267" s="3" t="s">
        <v>10</v>
      </c>
      <c r="I267" s="3" t="s">
        <v>16</v>
      </c>
      <c r="J267" s="3" t="s">
        <v>103</v>
      </c>
      <c r="K267" s="3" t="s">
        <v>45</v>
      </c>
      <c r="L267" s="4">
        <v>4</v>
      </c>
      <c r="M267" s="3">
        <v>550</v>
      </c>
      <c r="N267" s="3">
        <v>850</v>
      </c>
      <c r="O267" s="15">
        <f>Bike_Sales[[#This Row],[Order_Quantity]]*Bike_Sales[[#This Row],[Unit_Price]]</f>
        <v>3400</v>
      </c>
      <c r="P267" s="15">
        <f>Bike_Sales[[#This Row],[Order_Quantity]]*Bike_Sales[[#This Row],[Unit_Cost]]</f>
        <v>2200</v>
      </c>
      <c r="Q267" s="15">
        <f>Bike_Sales[[#This Row],[Total Sales]]-Bike_Sales[[#This Row],[Total Cost]]</f>
        <v>1200</v>
      </c>
      <c r="R267" s="17">
        <f>Bike_Sales[[#This Row],[Profit]]/Bike_Sales[[#This Row],[Total Sales]]</f>
        <v>0.35294117647058826</v>
      </c>
      <c r="S267" s="16" t="str">
        <f t="shared" si="4"/>
        <v>25-34</v>
      </c>
    </row>
    <row r="268" spans="1:19" x14ac:dyDescent="0.35">
      <c r="A268" s="2">
        <v>44532</v>
      </c>
      <c r="B268" s="2" t="str">
        <f>TEXT(Bike_Sales[[#This Row],[Date]],"mmmm")</f>
        <v>December</v>
      </c>
      <c r="C268" s="19">
        <f>MONTH(Bike_Sales[[#This Row],[Date]])</f>
        <v>12</v>
      </c>
      <c r="D268" s="2" t="str">
        <f>TEXT(Bike_Sales[[#This Row],[Date]],"dddd")</f>
        <v>Thursday</v>
      </c>
      <c r="E268" s="3">
        <v>29</v>
      </c>
      <c r="F268" s="3" t="s">
        <v>135</v>
      </c>
      <c r="G268" s="3" t="s">
        <v>39</v>
      </c>
      <c r="H268" s="3" t="s">
        <v>80</v>
      </c>
      <c r="I268" s="3" t="s">
        <v>11</v>
      </c>
      <c r="J268" s="3" t="s">
        <v>104</v>
      </c>
      <c r="K268" s="3" t="s">
        <v>68</v>
      </c>
      <c r="L268" s="4">
        <v>2</v>
      </c>
      <c r="M268" s="3">
        <v>500</v>
      </c>
      <c r="N268" s="3">
        <v>800</v>
      </c>
      <c r="O268" s="15">
        <f>Bike_Sales[[#This Row],[Order_Quantity]]*Bike_Sales[[#This Row],[Unit_Price]]</f>
        <v>1600</v>
      </c>
      <c r="P268" s="15">
        <f>Bike_Sales[[#This Row],[Order_Quantity]]*Bike_Sales[[#This Row],[Unit_Cost]]</f>
        <v>1000</v>
      </c>
      <c r="Q268" s="15">
        <f>Bike_Sales[[#This Row],[Total Sales]]-Bike_Sales[[#This Row],[Total Cost]]</f>
        <v>600</v>
      </c>
      <c r="R268" s="17">
        <f>Bike_Sales[[#This Row],[Profit]]/Bike_Sales[[#This Row],[Total Sales]]</f>
        <v>0.375</v>
      </c>
      <c r="S268" s="16" t="str">
        <f t="shared" si="4"/>
        <v>25-34</v>
      </c>
    </row>
    <row r="269" spans="1:19" x14ac:dyDescent="0.35">
      <c r="A269" s="2">
        <v>44535</v>
      </c>
      <c r="B269" s="2" t="str">
        <f>TEXT(Bike_Sales[[#This Row],[Date]],"mmmm")</f>
        <v>December</v>
      </c>
      <c r="C269" s="19">
        <f>MONTH(Bike_Sales[[#This Row],[Date]])</f>
        <v>12</v>
      </c>
      <c r="D269" s="2" t="str">
        <f>TEXT(Bike_Sales[[#This Row],[Date]],"dddd")</f>
        <v>Sunday</v>
      </c>
      <c r="E269" s="3">
        <v>29</v>
      </c>
      <c r="F269" s="3" t="s">
        <v>126</v>
      </c>
      <c r="G269" s="3" t="s">
        <v>18</v>
      </c>
      <c r="H269" s="3" t="s">
        <v>24</v>
      </c>
      <c r="I269" s="3" t="s">
        <v>11</v>
      </c>
      <c r="J269" s="3" t="s">
        <v>101</v>
      </c>
      <c r="K269" s="3" t="s">
        <v>67</v>
      </c>
      <c r="L269" s="4">
        <v>2</v>
      </c>
      <c r="M269" s="3">
        <v>700</v>
      </c>
      <c r="N269" s="3">
        <v>1100</v>
      </c>
      <c r="O269" s="15">
        <f>Bike_Sales[[#This Row],[Order_Quantity]]*Bike_Sales[[#This Row],[Unit_Price]]</f>
        <v>2200</v>
      </c>
      <c r="P269" s="15">
        <f>Bike_Sales[[#This Row],[Order_Quantity]]*Bike_Sales[[#This Row],[Unit_Cost]]</f>
        <v>1400</v>
      </c>
      <c r="Q269" s="15">
        <f>Bike_Sales[[#This Row],[Total Sales]]-Bike_Sales[[#This Row],[Total Cost]]</f>
        <v>800</v>
      </c>
      <c r="R269" s="17">
        <f>Bike_Sales[[#This Row],[Profit]]/Bike_Sales[[#This Row],[Total Sales]]</f>
        <v>0.36363636363636365</v>
      </c>
      <c r="S269" s="16" t="str">
        <f t="shared" si="4"/>
        <v>25-34</v>
      </c>
    </row>
    <row r="270" spans="1:19" x14ac:dyDescent="0.35">
      <c r="A270" s="2">
        <v>44535</v>
      </c>
      <c r="B270" s="2" t="str">
        <f>TEXT(Bike_Sales[[#This Row],[Date]],"mmmm")</f>
        <v>December</v>
      </c>
      <c r="C270" s="19">
        <f>MONTH(Bike_Sales[[#This Row],[Date]])</f>
        <v>12</v>
      </c>
      <c r="D270" s="2" t="str">
        <f>TEXT(Bike_Sales[[#This Row],[Date]],"dddd")</f>
        <v>Sunday</v>
      </c>
      <c r="E270" s="3">
        <v>29</v>
      </c>
      <c r="F270" s="3" t="s">
        <v>126</v>
      </c>
      <c r="G270" s="3" t="s">
        <v>39</v>
      </c>
      <c r="H270" s="3" t="s">
        <v>40</v>
      </c>
      <c r="I270" s="3" t="s">
        <v>11</v>
      </c>
      <c r="J270" s="3" t="s">
        <v>102</v>
      </c>
      <c r="K270" s="3" t="s">
        <v>47</v>
      </c>
      <c r="L270" s="4">
        <v>1</v>
      </c>
      <c r="M270" s="3">
        <v>900</v>
      </c>
      <c r="N270" s="3">
        <v>1400</v>
      </c>
      <c r="O270" s="15">
        <f>Bike_Sales[[#This Row],[Order_Quantity]]*Bike_Sales[[#This Row],[Unit_Price]]</f>
        <v>1400</v>
      </c>
      <c r="P270" s="15">
        <f>Bike_Sales[[#This Row],[Order_Quantity]]*Bike_Sales[[#This Row],[Unit_Cost]]</f>
        <v>900</v>
      </c>
      <c r="Q270" s="15">
        <f>Bike_Sales[[#This Row],[Total Sales]]-Bike_Sales[[#This Row],[Total Cost]]</f>
        <v>500</v>
      </c>
      <c r="R270" s="17">
        <f>Bike_Sales[[#This Row],[Profit]]/Bike_Sales[[#This Row],[Total Sales]]</f>
        <v>0.35714285714285715</v>
      </c>
      <c r="S270" s="16" t="str">
        <f t="shared" si="4"/>
        <v>25-34</v>
      </c>
    </row>
    <row r="271" spans="1:19" x14ac:dyDescent="0.35">
      <c r="A271" s="2">
        <v>44537</v>
      </c>
      <c r="B271" s="2" t="str">
        <f>TEXT(Bike_Sales[[#This Row],[Date]],"mmmm")</f>
        <v>December</v>
      </c>
      <c r="C271" s="19">
        <f>MONTH(Bike_Sales[[#This Row],[Date]])</f>
        <v>12</v>
      </c>
      <c r="D271" s="2" t="str">
        <f>TEXT(Bike_Sales[[#This Row],[Date]],"dddd")</f>
        <v>Tuesday</v>
      </c>
      <c r="E271" s="3">
        <v>29</v>
      </c>
      <c r="F271" s="3" t="s">
        <v>126</v>
      </c>
      <c r="G271" s="3" t="s">
        <v>18</v>
      </c>
      <c r="H271" s="3" t="s">
        <v>19</v>
      </c>
      <c r="I271" s="3" t="s">
        <v>11</v>
      </c>
      <c r="J271" s="3" t="s">
        <v>101</v>
      </c>
      <c r="K271" s="3" t="s">
        <v>46</v>
      </c>
      <c r="L271" s="4">
        <v>1</v>
      </c>
      <c r="M271" s="3">
        <v>580</v>
      </c>
      <c r="N271" s="3">
        <v>920</v>
      </c>
      <c r="O271" s="15">
        <f>Bike_Sales[[#This Row],[Order_Quantity]]*Bike_Sales[[#This Row],[Unit_Price]]</f>
        <v>920</v>
      </c>
      <c r="P271" s="15">
        <f>Bike_Sales[[#This Row],[Order_Quantity]]*Bike_Sales[[#This Row],[Unit_Cost]]</f>
        <v>580</v>
      </c>
      <c r="Q271" s="15">
        <f>Bike_Sales[[#This Row],[Total Sales]]-Bike_Sales[[#This Row],[Total Cost]]</f>
        <v>340</v>
      </c>
      <c r="R271" s="17">
        <f>Bike_Sales[[#This Row],[Profit]]/Bike_Sales[[#This Row],[Total Sales]]</f>
        <v>0.36956521739130432</v>
      </c>
      <c r="S271" s="16" t="str">
        <f t="shared" si="4"/>
        <v>25-34</v>
      </c>
    </row>
    <row r="272" spans="1:19" x14ac:dyDescent="0.35">
      <c r="A272" s="2">
        <v>44541</v>
      </c>
      <c r="B272" s="2" t="str">
        <f>TEXT(Bike_Sales[[#This Row],[Date]],"mmmm")</f>
        <v>December</v>
      </c>
      <c r="C272" s="19">
        <f>MONTH(Bike_Sales[[#This Row],[Date]])</f>
        <v>12</v>
      </c>
      <c r="D272" s="2" t="str">
        <f>TEXT(Bike_Sales[[#This Row],[Date]],"dddd")</f>
        <v>Saturday</v>
      </c>
      <c r="E272" s="3">
        <v>29</v>
      </c>
      <c r="F272" s="3" t="s">
        <v>135</v>
      </c>
      <c r="G272" s="3" t="s">
        <v>129</v>
      </c>
      <c r="H272" s="3" t="s">
        <v>15</v>
      </c>
      <c r="I272" s="3" t="s">
        <v>11</v>
      </c>
      <c r="J272" s="3" t="s">
        <v>104</v>
      </c>
      <c r="K272" s="3" t="s">
        <v>53</v>
      </c>
      <c r="L272" s="4">
        <v>1</v>
      </c>
      <c r="M272" s="3">
        <v>500</v>
      </c>
      <c r="N272" s="3">
        <v>800</v>
      </c>
      <c r="O272" s="15">
        <f>Bike_Sales[[#This Row],[Order_Quantity]]*Bike_Sales[[#This Row],[Unit_Price]]</f>
        <v>800</v>
      </c>
      <c r="P272" s="15">
        <f>Bike_Sales[[#This Row],[Order_Quantity]]*Bike_Sales[[#This Row],[Unit_Cost]]</f>
        <v>500</v>
      </c>
      <c r="Q272" s="15">
        <f>Bike_Sales[[#This Row],[Total Sales]]-Bike_Sales[[#This Row],[Total Cost]]</f>
        <v>300</v>
      </c>
      <c r="R272" s="17">
        <f>Bike_Sales[[#This Row],[Profit]]/Bike_Sales[[#This Row],[Total Sales]]</f>
        <v>0.375</v>
      </c>
      <c r="S272" s="16" t="str">
        <f t="shared" si="4"/>
        <v>25-34</v>
      </c>
    </row>
    <row r="273" spans="1:19" x14ac:dyDescent="0.35">
      <c r="A273" s="2">
        <v>44543</v>
      </c>
      <c r="B273" s="2" t="str">
        <f>TEXT(Bike_Sales[[#This Row],[Date]],"mmmm")</f>
        <v>December</v>
      </c>
      <c r="C273" s="19">
        <f>MONTH(Bike_Sales[[#This Row],[Date]])</f>
        <v>12</v>
      </c>
      <c r="D273" s="2" t="str">
        <f>TEXT(Bike_Sales[[#This Row],[Date]],"dddd")</f>
        <v>Monday</v>
      </c>
      <c r="E273" s="3">
        <v>29</v>
      </c>
      <c r="F273" s="3" t="s">
        <v>135</v>
      </c>
      <c r="G273" s="3" t="s">
        <v>18</v>
      </c>
      <c r="H273" s="3" t="s">
        <v>19</v>
      </c>
      <c r="I273" s="3" t="s">
        <v>11</v>
      </c>
      <c r="J273" s="3" t="s">
        <v>101</v>
      </c>
      <c r="K273" s="3" t="s">
        <v>31</v>
      </c>
      <c r="L273" s="4">
        <v>2</v>
      </c>
      <c r="M273" s="3">
        <v>580</v>
      </c>
      <c r="N273" s="3">
        <v>920</v>
      </c>
      <c r="O273" s="15">
        <f>Bike_Sales[[#This Row],[Order_Quantity]]*Bike_Sales[[#This Row],[Unit_Price]]</f>
        <v>1840</v>
      </c>
      <c r="P273" s="15">
        <f>Bike_Sales[[#This Row],[Order_Quantity]]*Bike_Sales[[#This Row],[Unit_Cost]]</f>
        <v>1160</v>
      </c>
      <c r="Q273" s="15">
        <f>Bike_Sales[[#This Row],[Total Sales]]-Bike_Sales[[#This Row],[Total Cost]]</f>
        <v>680</v>
      </c>
      <c r="R273" s="17">
        <f>Bike_Sales[[#This Row],[Profit]]/Bike_Sales[[#This Row],[Total Sales]]</f>
        <v>0.36956521739130432</v>
      </c>
      <c r="S273" s="16" t="str">
        <f t="shared" si="4"/>
        <v>25-34</v>
      </c>
    </row>
    <row r="274" spans="1:19" x14ac:dyDescent="0.35">
      <c r="A274" s="2">
        <v>44545</v>
      </c>
      <c r="B274" s="2" t="str">
        <f>TEXT(Bike_Sales[[#This Row],[Date]],"mmmm")</f>
        <v>December</v>
      </c>
      <c r="C274" s="19">
        <f>MONTH(Bike_Sales[[#This Row],[Date]])</f>
        <v>12</v>
      </c>
      <c r="D274" s="2" t="str">
        <f>TEXT(Bike_Sales[[#This Row],[Date]],"dddd")</f>
        <v>Wednesday</v>
      </c>
      <c r="E274" s="3">
        <v>29</v>
      </c>
      <c r="F274" s="3" t="s">
        <v>135</v>
      </c>
      <c r="G274" s="3" t="s">
        <v>9</v>
      </c>
      <c r="H274" s="3" t="s">
        <v>10</v>
      </c>
      <c r="I274" s="3" t="s">
        <v>16</v>
      </c>
      <c r="J274" s="3" t="s">
        <v>103</v>
      </c>
      <c r="K274" s="3" t="s">
        <v>45</v>
      </c>
      <c r="L274" s="4">
        <v>1</v>
      </c>
      <c r="M274" s="3">
        <v>550</v>
      </c>
      <c r="N274" s="3">
        <v>850</v>
      </c>
      <c r="O274" s="15">
        <f>Bike_Sales[[#This Row],[Order_Quantity]]*Bike_Sales[[#This Row],[Unit_Price]]</f>
        <v>850</v>
      </c>
      <c r="P274" s="15">
        <f>Bike_Sales[[#This Row],[Order_Quantity]]*Bike_Sales[[#This Row],[Unit_Cost]]</f>
        <v>550</v>
      </c>
      <c r="Q274" s="15">
        <f>Bike_Sales[[#This Row],[Total Sales]]-Bike_Sales[[#This Row],[Total Cost]]</f>
        <v>300</v>
      </c>
      <c r="R274" s="17">
        <f>Bike_Sales[[#This Row],[Profit]]/Bike_Sales[[#This Row],[Total Sales]]</f>
        <v>0.35294117647058826</v>
      </c>
      <c r="S274" s="16" t="str">
        <f t="shared" si="4"/>
        <v>25-34</v>
      </c>
    </row>
    <row r="275" spans="1:19" x14ac:dyDescent="0.35">
      <c r="A275" s="2">
        <v>44546</v>
      </c>
      <c r="B275" s="2" t="str">
        <f>TEXT(Bike_Sales[[#This Row],[Date]],"mmmm")</f>
        <v>December</v>
      </c>
      <c r="C275" s="19">
        <f>MONTH(Bike_Sales[[#This Row],[Date]])</f>
        <v>12</v>
      </c>
      <c r="D275" s="2" t="str">
        <f>TEXT(Bike_Sales[[#This Row],[Date]],"dddd")</f>
        <v>Thursday</v>
      </c>
      <c r="E275" s="3">
        <v>29</v>
      </c>
      <c r="F275" s="3" t="s">
        <v>126</v>
      </c>
      <c r="G275" s="3" t="s">
        <v>9</v>
      </c>
      <c r="H275" s="3" t="s">
        <v>69</v>
      </c>
      <c r="I275" s="3" t="s">
        <v>11</v>
      </c>
      <c r="J275" s="3" t="s">
        <v>101</v>
      </c>
      <c r="K275" s="3" t="s">
        <v>87</v>
      </c>
      <c r="L275" s="4">
        <v>2</v>
      </c>
      <c r="M275" s="3">
        <v>620</v>
      </c>
      <c r="N275" s="3">
        <v>980</v>
      </c>
      <c r="O275" s="15">
        <f>Bike_Sales[[#This Row],[Order_Quantity]]*Bike_Sales[[#This Row],[Unit_Price]]</f>
        <v>1960</v>
      </c>
      <c r="P275" s="15">
        <f>Bike_Sales[[#This Row],[Order_Quantity]]*Bike_Sales[[#This Row],[Unit_Cost]]</f>
        <v>1240</v>
      </c>
      <c r="Q275" s="15">
        <f>Bike_Sales[[#This Row],[Total Sales]]-Bike_Sales[[#This Row],[Total Cost]]</f>
        <v>720</v>
      </c>
      <c r="R275" s="17">
        <f>Bike_Sales[[#This Row],[Profit]]/Bike_Sales[[#This Row],[Total Sales]]</f>
        <v>0.36734693877551022</v>
      </c>
      <c r="S275" s="16" t="str">
        <f t="shared" si="4"/>
        <v>25-34</v>
      </c>
    </row>
    <row r="276" spans="1:19" x14ac:dyDescent="0.35">
      <c r="A276" s="2">
        <v>44550</v>
      </c>
      <c r="B276" s="2" t="str">
        <f>TEXT(Bike_Sales[[#This Row],[Date]],"mmmm")</f>
        <v>December</v>
      </c>
      <c r="C276" s="19">
        <f>MONTH(Bike_Sales[[#This Row],[Date]])</f>
        <v>12</v>
      </c>
      <c r="D276" s="2" t="str">
        <f>TEXT(Bike_Sales[[#This Row],[Date]],"dddd")</f>
        <v>Monday</v>
      </c>
      <c r="E276" s="3">
        <v>29</v>
      </c>
      <c r="F276" s="3" t="s">
        <v>126</v>
      </c>
      <c r="G276" s="3" t="s">
        <v>13</v>
      </c>
      <c r="H276" s="3" t="s">
        <v>127</v>
      </c>
      <c r="I276" s="3" t="s">
        <v>16</v>
      </c>
      <c r="J276" s="3" t="s">
        <v>101</v>
      </c>
      <c r="K276" s="3" t="s">
        <v>97</v>
      </c>
      <c r="L276" s="4">
        <v>3</v>
      </c>
      <c r="M276" s="3">
        <v>480</v>
      </c>
      <c r="N276" s="3">
        <v>760</v>
      </c>
      <c r="O276" s="15">
        <f>Bike_Sales[[#This Row],[Order_Quantity]]*Bike_Sales[[#This Row],[Unit_Price]]</f>
        <v>2280</v>
      </c>
      <c r="P276" s="15">
        <f>Bike_Sales[[#This Row],[Order_Quantity]]*Bike_Sales[[#This Row],[Unit_Cost]]</f>
        <v>1440</v>
      </c>
      <c r="Q276" s="15">
        <f>Bike_Sales[[#This Row],[Total Sales]]-Bike_Sales[[#This Row],[Total Cost]]</f>
        <v>840</v>
      </c>
      <c r="R276" s="17">
        <f>Bike_Sales[[#This Row],[Profit]]/Bike_Sales[[#This Row],[Total Sales]]</f>
        <v>0.36842105263157893</v>
      </c>
      <c r="S276" s="16" t="str">
        <f t="shared" si="4"/>
        <v>25-34</v>
      </c>
    </row>
    <row r="277" spans="1:19" x14ac:dyDescent="0.35">
      <c r="A277" s="2">
        <v>44552</v>
      </c>
      <c r="B277" s="2" t="str">
        <f>TEXT(Bike_Sales[[#This Row],[Date]],"mmmm")</f>
        <v>December</v>
      </c>
      <c r="C277" s="19">
        <f>MONTH(Bike_Sales[[#This Row],[Date]])</f>
        <v>12</v>
      </c>
      <c r="D277" s="2" t="str">
        <f>TEXT(Bike_Sales[[#This Row],[Date]],"dddd")</f>
        <v>Wednesday</v>
      </c>
      <c r="E277" s="3">
        <v>29</v>
      </c>
      <c r="F277" s="3" t="s">
        <v>135</v>
      </c>
      <c r="G277" s="3" t="s">
        <v>129</v>
      </c>
      <c r="H277" s="3" t="s">
        <v>15</v>
      </c>
      <c r="I277" s="3" t="s">
        <v>11</v>
      </c>
      <c r="J277" s="3" t="s">
        <v>104</v>
      </c>
      <c r="K277" s="3" t="s">
        <v>53</v>
      </c>
      <c r="L277" s="4">
        <v>1</v>
      </c>
      <c r="M277" s="3">
        <v>500</v>
      </c>
      <c r="N277" s="3">
        <v>800</v>
      </c>
      <c r="O277" s="15">
        <f>Bike_Sales[[#This Row],[Order_Quantity]]*Bike_Sales[[#This Row],[Unit_Price]]</f>
        <v>800</v>
      </c>
      <c r="P277" s="15">
        <f>Bike_Sales[[#This Row],[Order_Quantity]]*Bike_Sales[[#This Row],[Unit_Cost]]</f>
        <v>500</v>
      </c>
      <c r="Q277" s="15">
        <f>Bike_Sales[[#This Row],[Total Sales]]-Bike_Sales[[#This Row],[Total Cost]]</f>
        <v>300</v>
      </c>
      <c r="R277" s="17">
        <f>Bike_Sales[[#This Row],[Profit]]/Bike_Sales[[#This Row],[Total Sales]]</f>
        <v>0.375</v>
      </c>
      <c r="S277" s="16" t="str">
        <f t="shared" si="4"/>
        <v>25-34</v>
      </c>
    </row>
    <row r="278" spans="1:19" x14ac:dyDescent="0.35">
      <c r="A278" s="2">
        <v>44553</v>
      </c>
      <c r="B278" s="2" t="str">
        <f>TEXT(Bike_Sales[[#This Row],[Date]],"mmmm")</f>
        <v>December</v>
      </c>
      <c r="C278" s="19">
        <f>MONTH(Bike_Sales[[#This Row],[Date]])</f>
        <v>12</v>
      </c>
      <c r="D278" s="2" t="str">
        <f>TEXT(Bike_Sales[[#This Row],[Date]],"dddd")</f>
        <v>Thursday</v>
      </c>
      <c r="E278" s="3">
        <v>29</v>
      </c>
      <c r="F278" s="3" t="s">
        <v>126</v>
      </c>
      <c r="G278" s="3" t="s">
        <v>129</v>
      </c>
      <c r="H278" s="3" t="s">
        <v>15</v>
      </c>
      <c r="I278" s="3" t="s">
        <v>11</v>
      </c>
      <c r="J278" s="3" t="s">
        <v>104</v>
      </c>
      <c r="K278" s="3" t="s">
        <v>52</v>
      </c>
      <c r="L278" s="4">
        <v>4</v>
      </c>
      <c r="M278" s="3">
        <v>530</v>
      </c>
      <c r="N278" s="3">
        <v>840</v>
      </c>
      <c r="O278" s="15">
        <f>Bike_Sales[[#This Row],[Order_Quantity]]*Bike_Sales[[#This Row],[Unit_Price]]</f>
        <v>3360</v>
      </c>
      <c r="P278" s="15">
        <f>Bike_Sales[[#This Row],[Order_Quantity]]*Bike_Sales[[#This Row],[Unit_Cost]]</f>
        <v>2120</v>
      </c>
      <c r="Q278" s="15">
        <f>Bike_Sales[[#This Row],[Total Sales]]-Bike_Sales[[#This Row],[Total Cost]]</f>
        <v>1240</v>
      </c>
      <c r="R278" s="17">
        <f>Bike_Sales[[#This Row],[Profit]]/Bike_Sales[[#This Row],[Total Sales]]</f>
        <v>0.36904761904761907</v>
      </c>
      <c r="S278" s="16" t="str">
        <f t="shared" si="4"/>
        <v>25-34</v>
      </c>
    </row>
    <row r="279" spans="1:19" x14ac:dyDescent="0.35">
      <c r="A279" s="2">
        <v>44554</v>
      </c>
      <c r="B279" s="2" t="str">
        <f>TEXT(Bike_Sales[[#This Row],[Date]],"mmmm")</f>
        <v>December</v>
      </c>
      <c r="C279" s="19">
        <f>MONTH(Bike_Sales[[#This Row],[Date]])</f>
        <v>12</v>
      </c>
      <c r="D279" s="2" t="str">
        <f>TEXT(Bike_Sales[[#This Row],[Date]],"dddd")</f>
        <v>Friday</v>
      </c>
      <c r="E279" s="3">
        <v>29</v>
      </c>
      <c r="F279" s="3" t="s">
        <v>126</v>
      </c>
      <c r="G279" s="3" t="s">
        <v>129</v>
      </c>
      <c r="H279" s="3" t="s">
        <v>15</v>
      </c>
      <c r="I279" s="3" t="s">
        <v>11</v>
      </c>
      <c r="J279" s="3" t="s">
        <v>104</v>
      </c>
      <c r="K279" s="3" t="s">
        <v>52</v>
      </c>
      <c r="L279" s="4">
        <v>1</v>
      </c>
      <c r="M279" s="3">
        <v>530</v>
      </c>
      <c r="N279" s="3">
        <v>840</v>
      </c>
      <c r="O279" s="15">
        <f>Bike_Sales[[#This Row],[Order_Quantity]]*Bike_Sales[[#This Row],[Unit_Price]]</f>
        <v>840</v>
      </c>
      <c r="P279" s="15">
        <f>Bike_Sales[[#This Row],[Order_Quantity]]*Bike_Sales[[#This Row],[Unit_Cost]]</f>
        <v>530</v>
      </c>
      <c r="Q279" s="15">
        <f>Bike_Sales[[#This Row],[Total Sales]]-Bike_Sales[[#This Row],[Total Cost]]</f>
        <v>310</v>
      </c>
      <c r="R279" s="17">
        <f>Bike_Sales[[#This Row],[Profit]]/Bike_Sales[[#This Row],[Total Sales]]</f>
        <v>0.36904761904761907</v>
      </c>
      <c r="S279" s="16" t="str">
        <f t="shared" si="4"/>
        <v>25-34</v>
      </c>
    </row>
    <row r="280" spans="1:19" x14ac:dyDescent="0.35">
      <c r="A280" s="2">
        <v>44560</v>
      </c>
      <c r="B280" s="2" t="str">
        <f>TEXT(Bike_Sales[[#This Row],[Date]],"mmmm")</f>
        <v>December</v>
      </c>
      <c r="C280" s="19">
        <f>MONTH(Bike_Sales[[#This Row],[Date]])</f>
        <v>12</v>
      </c>
      <c r="D280" s="2" t="str">
        <f>TEXT(Bike_Sales[[#This Row],[Date]],"dddd")</f>
        <v>Thursday</v>
      </c>
      <c r="E280" s="3">
        <v>29</v>
      </c>
      <c r="F280" s="3" t="s">
        <v>135</v>
      </c>
      <c r="G280" s="3" t="s">
        <v>18</v>
      </c>
      <c r="H280" s="3" t="s">
        <v>19</v>
      </c>
      <c r="I280" s="3" t="s">
        <v>11</v>
      </c>
      <c r="J280" s="3" t="s">
        <v>101</v>
      </c>
      <c r="K280" s="3" t="s">
        <v>31</v>
      </c>
      <c r="L280" s="4">
        <v>1</v>
      </c>
      <c r="M280" s="3">
        <v>580</v>
      </c>
      <c r="N280" s="3">
        <v>920</v>
      </c>
      <c r="O280" s="15">
        <f>Bike_Sales[[#This Row],[Order_Quantity]]*Bike_Sales[[#This Row],[Unit_Price]]</f>
        <v>920</v>
      </c>
      <c r="P280" s="15">
        <f>Bike_Sales[[#This Row],[Order_Quantity]]*Bike_Sales[[#This Row],[Unit_Cost]]</f>
        <v>580</v>
      </c>
      <c r="Q280" s="15">
        <f>Bike_Sales[[#This Row],[Total Sales]]-Bike_Sales[[#This Row],[Total Cost]]</f>
        <v>340</v>
      </c>
      <c r="R280" s="17">
        <f>Bike_Sales[[#This Row],[Profit]]/Bike_Sales[[#This Row],[Total Sales]]</f>
        <v>0.36956521739130432</v>
      </c>
      <c r="S280" s="16" t="str">
        <f t="shared" si="4"/>
        <v>25-34</v>
      </c>
    </row>
    <row r="281" spans="1:19" x14ac:dyDescent="0.35">
      <c r="A281" s="2">
        <v>44472</v>
      </c>
      <c r="B281" s="2" t="str">
        <f>TEXT(Bike_Sales[[#This Row],[Date]],"mmmm")</f>
        <v>October</v>
      </c>
      <c r="C281" s="19">
        <f>MONTH(Bike_Sales[[#This Row],[Date]])</f>
        <v>10</v>
      </c>
      <c r="D281" s="2" t="str">
        <f>TEXT(Bike_Sales[[#This Row],[Date]],"dddd")</f>
        <v>Sunday</v>
      </c>
      <c r="E281" s="3">
        <v>30</v>
      </c>
      <c r="F281" s="3" t="s">
        <v>135</v>
      </c>
      <c r="G281" s="3" t="s">
        <v>33</v>
      </c>
      <c r="H281" s="3" t="s">
        <v>128</v>
      </c>
      <c r="I281" s="3" t="s">
        <v>11</v>
      </c>
      <c r="J281" s="3" t="s">
        <v>101</v>
      </c>
      <c r="K281" s="3" t="s">
        <v>31</v>
      </c>
      <c r="L281" s="4">
        <v>1</v>
      </c>
      <c r="M281" s="3">
        <v>580</v>
      </c>
      <c r="N281" s="3">
        <v>920</v>
      </c>
      <c r="O281" s="15">
        <f>Bike_Sales[[#This Row],[Order_Quantity]]*Bike_Sales[[#This Row],[Unit_Price]]</f>
        <v>920</v>
      </c>
      <c r="P281" s="15">
        <f>Bike_Sales[[#This Row],[Order_Quantity]]*Bike_Sales[[#This Row],[Unit_Cost]]</f>
        <v>580</v>
      </c>
      <c r="Q281" s="15">
        <f>Bike_Sales[[#This Row],[Total Sales]]-Bike_Sales[[#This Row],[Total Cost]]</f>
        <v>340</v>
      </c>
      <c r="R281" s="17">
        <f>Bike_Sales[[#This Row],[Profit]]/Bike_Sales[[#This Row],[Total Sales]]</f>
        <v>0.36956521739130432</v>
      </c>
      <c r="S281" s="16" t="str">
        <f t="shared" si="4"/>
        <v>25-34</v>
      </c>
    </row>
    <row r="282" spans="1:19" x14ac:dyDescent="0.35">
      <c r="A282" s="2">
        <v>44474</v>
      </c>
      <c r="B282" s="2" t="str">
        <f>TEXT(Bike_Sales[[#This Row],[Date]],"mmmm")</f>
        <v>October</v>
      </c>
      <c r="C282" s="19">
        <f>MONTH(Bike_Sales[[#This Row],[Date]])</f>
        <v>10</v>
      </c>
      <c r="D282" s="2" t="str">
        <f>TEXT(Bike_Sales[[#This Row],[Date]],"dddd")</f>
        <v>Tuesday</v>
      </c>
      <c r="E282" s="3">
        <v>30</v>
      </c>
      <c r="F282" s="3" t="s">
        <v>126</v>
      </c>
      <c r="G282" s="3" t="s">
        <v>9</v>
      </c>
      <c r="H282" s="3" t="s">
        <v>37</v>
      </c>
      <c r="I282" s="3" t="s">
        <v>16</v>
      </c>
      <c r="J282" s="3" t="s">
        <v>103</v>
      </c>
      <c r="K282" s="3" t="s">
        <v>22</v>
      </c>
      <c r="L282" s="4">
        <v>4</v>
      </c>
      <c r="M282" s="3">
        <v>550</v>
      </c>
      <c r="N282" s="3">
        <v>850</v>
      </c>
      <c r="O282" s="15">
        <f>Bike_Sales[[#This Row],[Order_Quantity]]*Bike_Sales[[#This Row],[Unit_Price]]</f>
        <v>3400</v>
      </c>
      <c r="P282" s="15">
        <f>Bike_Sales[[#This Row],[Order_Quantity]]*Bike_Sales[[#This Row],[Unit_Cost]]</f>
        <v>2200</v>
      </c>
      <c r="Q282" s="15">
        <f>Bike_Sales[[#This Row],[Total Sales]]-Bike_Sales[[#This Row],[Total Cost]]</f>
        <v>1200</v>
      </c>
      <c r="R282" s="17">
        <f>Bike_Sales[[#This Row],[Profit]]/Bike_Sales[[#This Row],[Total Sales]]</f>
        <v>0.35294117647058826</v>
      </c>
      <c r="S282" s="16" t="str">
        <f t="shared" si="4"/>
        <v>25-34</v>
      </c>
    </row>
    <row r="283" spans="1:19" x14ac:dyDescent="0.35">
      <c r="A283" s="2">
        <v>44475</v>
      </c>
      <c r="B283" s="2" t="str">
        <f>TEXT(Bike_Sales[[#This Row],[Date]],"mmmm")</f>
        <v>October</v>
      </c>
      <c r="C283" s="19">
        <f>MONTH(Bike_Sales[[#This Row],[Date]])</f>
        <v>10</v>
      </c>
      <c r="D283" s="2" t="str">
        <f>TEXT(Bike_Sales[[#This Row],[Date]],"dddd")</f>
        <v>Wednesday</v>
      </c>
      <c r="E283" s="3">
        <v>30</v>
      </c>
      <c r="F283" s="3" t="s">
        <v>135</v>
      </c>
      <c r="G283" s="3" t="s">
        <v>9</v>
      </c>
      <c r="H283" s="3" t="s">
        <v>10</v>
      </c>
      <c r="I283" s="3" t="s">
        <v>16</v>
      </c>
      <c r="J283" s="3" t="s">
        <v>101</v>
      </c>
      <c r="K283" s="3" t="s">
        <v>48</v>
      </c>
      <c r="L283" s="4">
        <v>4</v>
      </c>
      <c r="M283" s="3">
        <v>480</v>
      </c>
      <c r="N283" s="3">
        <v>760</v>
      </c>
      <c r="O283" s="15">
        <f>Bike_Sales[[#This Row],[Order_Quantity]]*Bike_Sales[[#This Row],[Unit_Price]]</f>
        <v>3040</v>
      </c>
      <c r="P283" s="15">
        <f>Bike_Sales[[#This Row],[Order_Quantity]]*Bike_Sales[[#This Row],[Unit_Cost]]</f>
        <v>1920</v>
      </c>
      <c r="Q283" s="15">
        <f>Bike_Sales[[#This Row],[Total Sales]]-Bike_Sales[[#This Row],[Total Cost]]</f>
        <v>1120</v>
      </c>
      <c r="R283" s="17">
        <f>Bike_Sales[[#This Row],[Profit]]/Bike_Sales[[#This Row],[Total Sales]]</f>
        <v>0.36842105263157893</v>
      </c>
      <c r="S283" s="16" t="str">
        <f t="shared" si="4"/>
        <v>25-34</v>
      </c>
    </row>
    <row r="284" spans="1:19" x14ac:dyDescent="0.35">
      <c r="A284" s="2">
        <v>44482</v>
      </c>
      <c r="B284" s="2" t="str">
        <f>TEXT(Bike_Sales[[#This Row],[Date]],"mmmm")</f>
        <v>October</v>
      </c>
      <c r="C284" s="19">
        <f>MONTH(Bike_Sales[[#This Row],[Date]])</f>
        <v>10</v>
      </c>
      <c r="D284" s="2" t="str">
        <f>TEXT(Bike_Sales[[#This Row],[Date]],"dddd")</f>
        <v>Wednesday</v>
      </c>
      <c r="E284" s="3">
        <v>30</v>
      </c>
      <c r="F284" s="3" t="s">
        <v>126</v>
      </c>
      <c r="G284" s="3" t="s">
        <v>33</v>
      </c>
      <c r="H284" s="3" t="s">
        <v>56</v>
      </c>
      <c r="I284" s="3" t="s">
        <v>11</v>
      </c>
      <c r="J284" s="3" t="s">
        <v>102</v>
      </c>
      <c r="K284" s="3" t="s">
        <v>70</v>
      </c>
      <c r="L284" s="4">
        <v>1</v>
      </c>
      <c r="M284" s="3">
        <v>620</v>
      </c>
      <c r="N284" s="3">
        <v>980</v>
      </c>
      <c r="O284" s="15">
        <f>Bike_Sales[[#This Row],[Order_Quantity]]*Bike_Sales[[#This Row],[Unit_Price]]</f>
        <v>980</v>
      </c>
      <c r="P284" s="15">
        <f>Bike_Sales[[#This Row],[Order_Quantity]]*Bike_Sales[[#This Row],[Unit_Cost]]</f>
        <v>620</v>
      </c>
      <c r="Q284" s="15">
        <f>Bike_Sales[[#This Row],[Total Sales]]-Bike_Sales[[#This Row],[Total Cost]]</f>
        <v>360</v>
      </c>
      <c r="R284" s="17">
        <f>Bike_Sales[[#This Row],[Profit]]/Bike_Sales[[#This Row],[Total Sales]]</f>
        <v>0.36734693877551022</v>
      </c>
      <c r="S284" s="16" t="str">
        <f t="shared" si="4"/>
        <v>25-34</v>
      </c>
    </row>
    <row r="285" spans="1:19" x14ac:dyDescent="0.35">
      <c r="A285" s="2">
        <v>44486</v>
      </c>
      <c r="B285" s="2" t="str">
        <f>TEXT(Bike_Sales[[#This Row],[Date]],"mmmm")</f>
        <v>October</v>
      </c>
      <c r="C285" s="19">
        <f>MONTH(Bike_Sales[[#This Row],[Date]])</f>
        <v>10</v>
      </c>
      <c r="D285" s="2" t="str">
        <f>TEXT(Bike_Sales[[#This Row],[Date]],"dddd")</f>
        <v>Sunday</v>
      </c>
      <c r="E285" s="3">
        <v>30</v>
      </c>
      <c r="F285" s="3" t="s">
        <v>126</v>
      </c>
      <c r="G285" s="3" t="s">
        <v>39</v>
      </c>
      <c r="H285" s="3" t="s">
        <v>76</v>
      </c>
      <c r="I285" s="3" t="s">
        <v>11</v>
      </c>
      <c r="J285" s="3" t="s">
        <v>101</v>
      </c>
      <c r="K285" s="3" t="s">
        <v>54</v>
      </c>
      <c r="L285" s="4">
        <v>4</v>
      </c>
      <c r="M285" s="3">
        <v>580</v>
      </c>
      <c r="N285" s="3">
        <v>920</v>
      </c>
      <c r="O285" s="15">
        <f>Bike_Sales[[#This Row],[Order_Quantity]]*Bike_Sales[[#This Row],[Unit_Price]]</f>
        <v>3680</v>
      </c>
      <c r="P285" s="15">
        <f>Bike_Sales[[#This Row],[Order_Quantity]]*Bike_Sales[[#This Row],[Unit_Cost]]</f>
        <v>2320</v>
      </c>
      <c r="Q285" s="15">
        <f>Bike_Sales[[#This Row],[Total Sales]]-Bike_Sales[[#This Row],[Total Cost]]</f>
        <v>1360</v>
      </c>
      <c r="R285" s="17">
        <f>Bike_Sales[[#This Row],[Profit]]/Bike_Sales[[#This Row],[Total Sales]]</f>
        <v>0.36956521739130432</v>
      </c>
      <c r="S285" s="16" t="str">
        <f t="shared" si="4"/>
        <v>25-34</v>
      </c>
    </row>
    <row r="286" spans="1:19" x14ac:dyDescent="0.35">
      <c r="A286" s="2">
        <v>44487</v>
      </c>
      <c r="B286" s="2" t="str">
        <f>TEXT(Bike_Sales[[#This Row],[Date]],"mmmm")</f>
        <v>October</v>
      </c>
      <c r="C286" s="19">
        <f>MONTH(Bike_Sales[[#This Row],[Date]])</f>
        <v>10</v>
      </c>
      <c r="D286" s="2" t="str">
        <f>TEXT(Bike_Sales[[#This Row],[Date]],"dddd")</f>
        <v>Monday</v>
      </c>
      <c r="E286" s="3">
        <v>30</v>
      </c>
      <c r="F286" s="3" t="s">
        <v>135</v>
      </c>
      <c r="G286" s="3" t="s">
        <v>9</v>
      </c>
      <c r="H286" s="3" t="s">
        <v>37</v>
      </c>
      <c r="I286" s="3" t="s">
        <v>16</v>
      </c>
      <c r="J286" s="3" t="s">
        <v>103</v>
      </c>
      <c r="K286" s="3" t="s">
        <v>22</v>
      </c>
      <c r="L286" s="4">
        <v>1</v>
      </c>
      <c r="M286" s="3">
        <v>550</v>
      </c>
      <c r="N286" s="3">
        <v>850</v>
      </c>
      <c r="O286" s="15">
        <f>Bike_Sales[[#This Row],[Order_Quantity]]*Bike_Sales[[#This Row],[Unit_Price]]</f>
        <v>850</v>
      </c>
      <c r="P286" s="15">
        <f>Bike_Sales[[#This Row],[Order_Quantity]]*Bike_Sales[[#This Row],[Unit_Cost]]</f>
        <v>550</v>
      </c>
      <c r="Q286" s="15">
        <f>Bike_Sales[[#This Row],[Total Sales]]-Bike_Sales[[#This Row],[Total Cost]]</f>
        <v>300</v>
      </c>
      <c r="R286" s="17">
        <f>Bike_Sales[[#This Row],[Profit]]/Bike_Sales[[#This Row],[Total Sales]]</f>
        <v>0.35294117647058826</v>
      </c>
      <c r="S286" s="16" t="str">
        <f t="shared" si="4"/>
        <v>25-34</v>
      </c>
    </row>
    <row r="287" spans="1:19" x14ac:dyDescent="0.35">
      <c r="A287" s="2">
        <v>44489</v>
      </c>
      <c r="B287" s="2" t="str">
        <f>TEXT(Bike_Sales[[#This Row],[Date]],"mmmm")</f>
        <v>October</v>
      </c>
      <c r="C287" s="19">
        <f>MONTH(Bike_Sales[[#This Row],[Date]])</f>
        <v>10</v>
      </c>
      <c r="D287" s="2" t="str">
        <f>TEXT(Bike_Sales[[#This Row],[Date]],"dddd")</f>
        <v>Wednesday</v>
      </c>
      <c r="E287" s="3">
        <v>30</v>
      </c>
      <c r="F287" s="3" t="s">
        <v>126</v>
      </c>
      <c r="G287" s="3" t="s">
        <v>39</v>
      </c>
      <c r="H287" s="3" t="s">
        <v>79</v>
      </c>
      <c r="I287" s="3" t="s">
        <v>11</v>
      </c>
      <c r="J287" s="3" t="s">
        <v>102</v>
      </c>
      <c r="K287" s="3" t="s">
        <v>43</v>
      </c>
      <c r="L287" s="4">
        <v>3</v>
      </c>
      <c r="M287" s="3">
        <v>900</v>
      </c>
      <c r="N287" s="3">
        <v>1400</v>
      </c>
      <c r="O287" s="15">
        <f>Bike_Sales[[#This Row],[Order_Quantity]]*Bike_Sales[[#This Row],[Unit_Price]]</f>
        <v>4200</v>
      </c>
      <c r="P287" s="15">
        <f>Bike_Sales[[#This Row],[Order_Quantity]]*Bike_Sales[[#This Row],[Unit_Cost]]</f>
        <v>2700</v>
      </c>
      <c r="Q287" s="15">
        <f>Bike_Sales[[#This Row],[Total Sales]]-Bike_Sales[[#This Row],[Total Cost]]</f>
        <v>1500</v>
      </c>
      <c r="R287" s="17">
        <f>Bike_Sales[[#This Row],[Profit]]/Bike_Sales[[#This Row],[Total Sales]]</f>
        <v>0.35714285714285715</v>
      </c>
      <c r="S287" s="16" t="str">
        <f t="shared" si="4"/>
        <v>25-34</v>
      </c>
    </row>
    <row r="288" spans="1:19" x14ac:dyDescent="0.35">
      <c r="A288" s="2">
        <v>44491</v>
      </c>
      <c r="B288" s="2" t="str">
        <f>TEXT(Bike_Sales[[#This Row],[Date]],"mmmm")</f>
        <v>October</v>
      </c>
      <c r="C288" s="19">
        <f>MONTH(Bike_Sales[[#This Row],[Date]])</f>
        <v>10</v>
      </c>
      <c r="D288" s="2" t="str">
        <f>TEXT(Bike_Sales[[#This Row],[Date]],"dddd")</f>
        <v>Friday</v>
      </c>
      <c r="E288" s="3">
        <v>30</v>
      </c>
      <c r="F288" s="3" t="s">
        <v>126</v>
      </c>
      <c r="G288" s="3" t="s">
        <v>33</v>
      </c>
      <c r="H288" s="3" t="s">
        <v>61</v>
      </c>
      <c r="I288" s="3" t="s">
        <v>11</v>
      </c>
      <c r="J288" s="3" t="s">
        <v>101</v>
      </c>
      <c r="K288" s="3" t="s">
        <v>32</v>
      </c>
      <c r="L288" s="4">
        <v>4</v>
      </c>
      <c r="M288" s="3">
        <v>700</v>
      </c>
      <c r="N288" s="3">
        <v>1100</v>
      </c>
      <c r="O288" s="15">
        <f>Bike_Sales[[#This Row],[Order_Quantity]]*Bike_Sales[[#This Row],[Unit_Price]]</f>
        <v>4400</v>
      </c>
      <c r="P288" s="15">
        <f>Bike_Sales[[#This Row],[Order_Quantity]]*Bike_Sales[[#This Row],[Unit_Cost]]</f>
        <v>2800</v>
      </c>
      <c r="Q288" s="15">
        <f>Bike_Sales[[#This Row],[Total Sales]]-Bike_Sales[[#This Row],[Total Cost]]</f>
        <v>1600</v>
      </c>
      <c r="R288" s="17">
        <f>Bike_Sales[[#This Row],[Profit]]/Bike_Sales[[#This Row],[Total Sales]]</f>
        <v>0.36363636363636365</v>
      </c>
      <c r="S288" s="16" t="str">
        <f t="shared" si="4"/>
        <v>25-34</v>
      </c>
    </row>
    <row r="289" spans="1:19" x14ac:dyDescent="0.35">
      <c r="A289" s="2">
        <v>44493</v>
      </c>
      <c r="B289" s="2" t="str">
        <f>TEXT(Bike_Sales[[#This Row],[Date]],"mmmm")</f>
        <v>October</v>
      </c>
      <c r="C289" s="19">
        <f>MONTH(Bike_Sales[[#This Row],[Date]])</f>
        <v>10</v>
      </c>
      <c r="D289" s="2" t="str">
        <f>TEXT(Bike_Sales[[#This Row],[Date]],"dddd")</f>
        <v>Sunday</v>
      </c>
      <c r="E289" s="3">
        <v>30</v>
      </c>
      <c r="F289" s="3" t="s">
        <v>135</v>
      </c>
      <c r="G289" s="3" t="s">
        <v>18</v>
      </c>
      <c r="H289" s="3" t="s">
        <v>24</v>
      </c>
      <c r="I289" s="3" t="s">
        <v>16</v>
      </c>
      <c r="J289" s="3" t="s">
        <v>103</v>
      </c>
      <c r="K289" s="3" t="s">
        <v>22</v>
      </c>
      <c r="L289" s="4">
        <v>1</v>
      </c>
      <c r="M289" s="3">
        <v>550</v>
      </c>
      <c r="N289" s="3">
        <v>850</v>
      </c>
      <c r="O289" s="15">
        <f>Bike_Sales[[#This Row],[Order_Quantity]]*Bike_Sales[[#This Row],[Unit_Price]]</f>
        <v>850</v>
      </c>
      <c r="P289" s="15">
        <f>Bike_Sales[[#This Row],[Order_Quantity]]*Bike_Sales[[#This Row],[Unit_Cost]]</f>
        <v>550</v>
      </c>
      <c r="Q289" s="15">
        <f>Bike_Sales[[#This Row],[Total Sales]]-Bike_Sales[[#This Row],[Total Cost]]</f>
        <v>300</v>
      </c>
      <c r="R289" s="17">
        <f>Bike_Sales[[#This Row],[Profit]]/Bike_Sales[[#This Row],[Total Sales]]</f>
        <v>0.35294117647058826</v>
      </c>
      <c r="S289" s="16" t="str">
        <f t="shared" si="4"/>
        <v>25-34</v>
      </c>
    </row>
    <row r="290" spans="1:19" x14ac:dyDescent="0.35">
      <c r="A290" s="2">
        <v>44496</v>
      </c>
      <c r="B290" s="2" t="str">
        <f>TEXT(Bike_Sales[[#This Row],[Date]],"mmmm")</f>
        <v>October</v>
      </c>
      <c r="C290" s="19">
        <f>MONTH(Bike_Sales[[#This Row],[Date]])</f>
        <v>10</v>
      </c>
      <c r="D290" s="2" t="str">
        <f>TEXT(Bike_Sales[[#This Row],[Date]],"dddd")</f>
        <v>Wednesday</v>
      </c>
      <c r="E290" s="3">
        <v>30</v>
      </c>
      <c r="F290" s="3" t="s">
        <v>126</v>
      </c>
      <c r="G290" s="3" t="s">
        <v>13</v>
      </c>
      <c r="H290" s="3" t="s">
        <v>127</v>
      </c>
      <c r="I290" s="3" t="s">
        <v>11</v>
      </c>
      <c r="J290" s="3" t="s">
        <v>101</v>
      </c>
      <c r="K290" s="3" t="s">
        <v>44</v>
      </c>
      <c r="L290" s="4">
        <v>1</v>
      </c>
      <c r="M290" s="3">
        <v>700</v>
      </c>
      <c r="N290" s="3">
        <v>1100</v>
      </c>
      <c r="O290" s="15">
        <f>Bike_Sales[[#This Row],[Order_Quantity]]*Bike_Sales[[#This Row],[Unit_Price]]</f>
        <v>1100</v>
      </c>
      <c r="P290" s="15">
        <f>Bike_Sales[[#This Row],[Order_Quantity]]*Bike_Sales[[#This Row],[Unit_Cost]]</f>
        <v>700</v>
      </c>
      <c r="Q290" s="15">
        <f>Bike_Sales[[#This Row],[Total Sales]]-Bike_Sales[[#This Row],[Total Cost]]</f>
        <v>400</v>
      </c>
      <c r="R290" s="17">
        <f>Bike_Sales[[#This Row],[Profit]]/Bike_Sales[[#This Row],[Total Sales]]</f>
        <v>0.36363636363636365</v>
      </c>
      <c r="S290" s="16" t="str">
        <f t="shared" si="4"/>
        <v>25-34</v>
      </c>
    </row>
    <row r="291" spans="1:19" x14ac:dyDescent="0.35">
      <c r="A291" s="2">
        <v>44499</v>
      </c>
      <c r="B291" s="2" t="str">
        <f>TEXT(Bike_Sales[[#This Row],[Date]],"mmmm")</f>
        <v>October</v>
      </c>
      <c r="C291" s="19">
        <f>MONTH(Bike_Sales[[#This Row],[Date]])</f>
        <v>10</v>
      </c>
      <c r="D291" s="2" t="str">
        <f>TEXT(Bike_Sales[[#This Row],[Date]],"dddd")</f>
        <v>Saturday</v>
      </c>
      <c r="E291" s="3">
        <v>30</v>
      </c>
      <c r="F291" s="3" t="s">
        <v>135</v>
      </c>
      <c r="G291" s="3" t="s">
        <v>39</v>
      </c>
      <c r="H291" s="3" t="s">
        <v>80</v>
      </c>
      <c r="I291" s="3" t="s">
        <v>11</v>
      </c>
      <c r="J291" s="3" t="s">
        <v>101</v>
      </c>
      <c r="K291" s="3" t="s">
        <v>65</v>
      </c>
      <c r="L291" s="4">
        <v>1</v>
      </c>
      <c r="M291" s="3">
        <v>620</v>
      </c>
      <c r="N291" s="3">
        <v>980</v>
      </c>
      <c r="O291" s="15">
        <f>Bike_Sales[[#This Row],[Order_Quantity]]*Bike_Sales[[#This Row],[Unit_Price]]</f>
        <v>980</v>
      </c>
      <c r="P291" s="15">
        <f>Bike_Sales[[#This Row],[Order_Quantity]]*Bike_Sales[[#This Row],[Unit_Cost]]</f>
        <v>620</v>
      </c>
      <c r="Q291" s="15">
        <f>Bike_Sales[[#This Row],[Total Sales]]-Bike_Sales[[#This Row],[Total Cost]]</f>
        <v>360</v>
      </c>
      <c r="R291" s="17">
        <f>Bike_Sales[[#This Row],[Profit]]/Bike_Sales[[#This Row],[Total Sales]]</f>
        <v>0.36734693877551022</v>
      </c>
      <c r="S291" s="16" t="str">
        <f t="shared" si="4"/>
        <v>25-34</v>
      </c>
    </row>
    <row r="292" spans="1:19" x14ac:dyDescent="0.35">
      <c r="A292" s="2">
        <v>44511</v>
      </c>
      <c r="B292" s="2" t="str">
        <f>TEXT(Bike_Sales[[#This Row],[Date]],"mmmm")</f>
        <v>November</v>
      </c>
      <c r="C292" s="19">
        <f>MONTH(Bike_Sales[[#This Row],[Date]])</f>
        <v>11</v>
      </c>
      <c r="D292" s="2" t="str">
        <f>TEXT(Bike_Sales[[#This Row],[Date]],"dddd")</f>
        <v>Thursday</v>
      </c>
      <c r="E292" s="3">
        <v>30</v>
      </c>
      <c r="F292" s="3" t="s">
        <v>135</v>
      </c>
      <c r="G292" s="3" t="s">
        <v>9</v>
      </c>
      <c r="H292" s="3" t="s">
        <v>10</v>
      </c>
      <c r="I292" s="3" t="s">
        <v>16</v>
      </c>
      <c r="J292" s="3" t="s">
        <v>101</v>
      </c>
      <c r="K292" s="3" t="s">
        <v>48</v>
      </c>
      <c r="L292" s="4">
        <v>3</v>
      </c>
      <c r="M292" s="3">
        <v>480</v>
      </c>
      <c r="N292" s="3">
        <v>760</v>
      </c>
      <c r="O292" s="15">
        <f>Bike_Sales[[#This Row],[Order_Quantity]]*Bike_Sales[[#This Row],[Unit_Price]]</f>
        <v>2280</v>
      </c>
      <c r="P292" s="15">
        <f>Bike_Sales[[#This Row],[Order_Quantity]]*Bike_Sales[[#This Row],[Unit_Cost]]</f>
        <v>1440</v>
      </c>
      <c r="Q292" s="15">
        <f>Bike_Sales[[#This Row],[Total Sales]]-Bike_Sales[[#This Row],[Total Cost]]</f>
        <v>840</v>
      </c>
      <c r="R292" s="17">
        <f>Bike_Sales[[#This Row],[Profit]]/Bike_Sales[[#This Row],[Total Sales]]</f>
        <v>0.36842105263157893</v>
      </c>
      <c r="S292" s="16" t="str">
        <f t="shared" si="4"/>
        <v>25-34</v>
      </c>
    </row>
    <row r="293" spans="1:19" x14ac:dyDescent="0.35">
      <c r="A293" s="2">
        <v>44519</v>
      </c>
      <c r="B293" s="2" t="str">
        <f>TEXT(Bike_Sales[[#This Row],[Date]],"mmmm")</f>
        <v>November</v>
      </c>
      <c r="C293" s="19">
        <f>MONTH(Bike_Sales[[#This Row],[Date]])</f>
        <v>11</v>
      </c>
      <c r="D293" s="2" t="str">
        <f>TEXT(Bike_Sales[[#This Row],[Date]],"dddd")</f>
        <v>Friday</v>
      </c>
      <c r="E293" s="3">
        <v>30</v>
      </c>
      <c r="F293" s="3" t="s">
        <v>126</v>
      </c>
      <c r="G293" s="3" t="s">
        <v>9</v>
      </c>
      <c r="H293" s="3" t="s">
        <v>37</v>
      </c>
      <c r="I293" s="3" t="s">
        <v>16</v>
      </c>
      <c r="J293" s="3" t="s">
        <v>103</v>
      </c>
      <c r="K293" s="3" t="s">
        <v>22</v>
      </c>
      <c r="L293" s="4">
        <v>2</v>
      </c>
      <c r="M293" s="3">
        <v>550</v>
      </c>
      <c r="N293" s="3">
        <v>850</v>
      </c>
      <c r="O293" s="15">
        <f>Bike_Sales[[#This Row],[Order_Quantity]]*Bike_Sales[[#This Row],[Unit_Price]]</f>
        <v>1700</v>
      </c>
      <c r="P293" s="15">
        <f>Bike_Sales[[#This Row],[Order_Quantity]]*Bike_Sales[[#This Row],[Unit_Cost]]</f>
        <v>1100</v>
      </c>
      <c r="Q293" s="15">
        <f>Bike_Sales[[#This Row],[Total Sales]]-Bike_Sales[[#This Row],[Total Cost]]</f>
        <v>600</v>
      </c>
      <c r="R293" s="17">
        <f>Bike_Sales[[#This Row],[Profit]]/Bike_Sales[[#This Row],[Total Sales]]</f>
        <v>0.35294117647058826</v>
      </c>
      <c r="S293" s="16" t="str">
        <f t="shared" si="4"/>
        <v>25-34</v>
      </c>
    </row>
    <row r="294" spans="1:19" x14ac:dyDescent="0.35">
      <c r="A294" s="2">
        <v>44523</v>
      </c>
      <c r="B294" s="2" t="str">
        <f>TEXT(Bike_Sales[[#This Row],[Date]],"mmmm")</f>
        <v>November</v>
      </c>
      <c r="C294" s="19">
        <f>MONTH(Bike_Sales[[#This Row],[Date]])</f>
        <v>11</v>
      </c>
      <c r="D294" s="2" t="str">
        <f>TEXT(Bike_Sales[[#This Row],[Date]],"dddd")</f>
        <v>Tuesday</v>
      </c>
      <c r="E294" s="3">
        <v>30</v>
      </c>
      <c r="F294" s="3" t="s">
        <v>135</v>
      </c>
      <c r="G294" s="3" t="s">
        <v>9</v>
      </c>
      <c r="H294" s="3" t="s">
        <v>10</v>
      </c>
      <c r="I294" s="3" t="s">
        <v>11</v>
      </c>
      <c r="J294" s="3" t="s">
        <v>101</v>
      </c>
      <c r="K294" s="3" t="s">
        <v>88</v>
      </c>
      <c r="L294" s="4">
        <v>4</v>
      </c>
      <c r="M294" s="3">
        <v>620</v>
      </c>
      <c r="N294" s="3">
        <v>980</v>
      </c>
      <c r="O294" s="15">
        <f>Bike_Sales[[#This Row],[Order_Quantity]]*Bike_Sales[[#This Row],[Unit_Price]]</f>
        <v>3920</v>
      </c>
      <c r="P294" s="15">
        <f>Bike_Sales[[#This Row],[Order_Quantity]]*Bike_Sales[[#This Row],[Unit_Cost]]</f>
        <v>2480</v>
      </c>
      <c r="Q294" s="15">
        <f>Bike_Sales[[#This Row],[Total Sales]]-Bike_Sales[[#This Row],[Total Cost]]</f>
        <v>1440</v>
      </c>
      <c r="R294" s="17">
        <f>Bike_Sales[[#This Row],[Profit]]/Bike_Sales[[#This Row],[Total Sales]]</f>
        <v>0.36734693877551022</v>
      </c>
      <c r="S294" s="16" t="str">
        <f t="shared" si="4"/>
        <v>25-34</v>
      </c>
    </row>
    <row r="295" spans="1:19" x14ac:dyDescent="0.35">
      <c r="A295" s="2">
        <v>44530</v>
      </c>
      <c r="B295" s="2" t="str">
        <f>TEXT(Bike_Sales[[#This Row],[Date]],"mmmm")</f>
        <v>November</v>
      </c>
      <c r="C295" s="19">
        <f>MONTH(Bike_Sales[[#This Row],[Date]])</f>
        <v>11</v>
      </c>
      <c r="D295" s="2" t="str">
        <f>TEXT(Bike_Sales[[#This Row],[Date]],"dddd")</f>
        <v>Tuesday</v>
      </c>
      <c r="E295" s="3">
        <v>30</v>
      </c>
      <c r="F295" s="3" t="s">
        <v>126</v>
      </c>
      <c r="G295" s="3" t="s">
        <v>9</v>
      </c>
      <c r="H295" s="3" t="s">
        <v>37</v>
      </c>
      <c r="I295" s="3" t="s">
        <v>11</v>
      </c>
      <c r="J295" s="3" t="s">
        <v>102</v>
      </c>
      <c r="K295" s="3" t="s">
        <v>86</v>
      </c>
      <c r="L295" s="4">
        <v>2</v>
      </c>
      <c r="M295" s="3">
        <v>620</v>
      </c>
      <c r="N295" s="3">
        <v>980</v>
      </c>
      <c r="O295" s="15">
        <f>Bike_Sales[[#This Row],[Order_Quantity]]*Bike_Sales[[#This Row],[Unit_Price]]</f>
        <v>1960</v>
      </c>
      <c r="P295" s="15">
        <f>Bike_Sales[[#This Row],[Order_Quantity]]*Bike_Sales[[#This Row],[Unit_Cost]]</f>
        <v>1240</v>
      </c>
      <c r="Q295" s="15">
        <f>Bike_Sales[[#This Row],[Total Sales]]-Bike_Sales[[#This Row],[Total Cost]]</f>
        <v>720</v>
      </c>
      <c r="R295" s="17">
        <f>Bike_Sales[[#This Row],[Profit]]/Bike_Sales[[#This Row],[Total Sales]]</f>
        <v>0.36734693877551022</v>
      </c>
      <c r="S295" s="16" t="str">
        <f t="shared" si="4"/>
        <v>25-34</v>
      </c>
    </row>
    <row r="296" spans="1:19" x14ac:dyDescent="0.35">
      <c r="A296" s="2">
        <v>44537</v>
      </c>
      <c r="B296" s="2" t="str">
        <f>TEXT(Bike_Sales[[#This Row],[Date]],"mmmm")</f>
        <v>December</v>
      </c>
      <c r="C296" s="19">
        <f>MONTH(Bike_Sales[[#This Row],[Date]])</f>
        <v>12</v>
      </c>
      <c r="D296" s="2" t="str">
        <f>TEXT(Bike_Sales[[#This Row],[Date]],"dddd")</f>
        <v>Tuesday</v>
      </c>
      <c r="E296" s="3">
        <v>30</v>
      </c>
      <c r="F296" s="3" t="s">
        <v>126</v>
      </c>
      <c r="G296" s="3" t="s">
        <v>9</v>
      </c>
      <c r="H296" s="3" t="s">
        <v>10</v>
      </c>
      <c r="I296" s="3" t="s">
        <v>16</v>
      </c>
      <c r="J296" s="3" t="s">
        <v>103</v>
      </c>
      <c r="K296" s="3" t="s">
        <v>55</v>
      </c>
      <c r="L296" s="4">
        <v>4</v>
      </c>
      <c r="M296" s="3">
        <v>450</v>
      </c>
      <c r="N296" s="3">
        <v>720</v>
      </c>
      <c r="O296" s="15">
        <f>Bike_Sales[[#This Row],[Order_Quantity]]*Bike_Sales[[#This Row],[Unit_Price]]</f>
        <v>2880</v>
      </c>
      <c r="P296" s="15">
        <f>Bike_Sales[[#This Row],[Order_Quantity]]*Bike_Sales[[#This Row],[Unit_Cost]]</f>
        <v>1800</v>
      </c>
      <c r="Q296" s="15">
        <f>Bike_Sales[[#This Row],[Total Sales]]-Bike_Sales[[#This Row],[Total Cost]]</f>
        <v>1080</v>
      </c>
      <c r="R296" s="17">
        <f>Bike_Sales[[#This Row],[Profit]]/Bike_Sales[[#This Row],[Total Sales]]</f>
        <v>0.375</v>
      </c>
      <c r="S296" s="16" t="str">
        <f t="shared" si="4"/>
        <v>25-34</v>
      </c>
    </row>
    <row r="297" spans="1:19" x14ac:dyDescent="0.35">
      <c r="A297" s="2">
        <v>44538</v>
      </c>
      <c r="B297" s="2" t="str">
        <f>TEXT(Bike_Sales[[#This Row],[Date]],"mmmm")</f>
        <v>December</v>
      </c>
      <c r="C297" s="19">
        <f>MONTH(Bike_Sales[[#This Row],[Date]])</f>
        <v>12</v>
      </c>
      <c r="D297" s="2" t="str">
        <f>TEXT(Bike_Sales[[#This Row],[Date]],"dddd")</f>
        <v>Wednesday</v>
      </c>
      <c r="E297" s="3">
        <v>30</v>
      </c>
      <c r="F297" s="3" t="s">
        <v>135</v>
      </c>
      <c r="G297" s="3" t="s">
        <v>13</v>
      </c>
      <c r="H297" s="3" t="s">
        <v>127</v>
      </c>
      <c r="I297" s="3" t="s">
        <v>16</v>
      </c>
      <c r="J297" s="3" t="s">
        <v>103</v>
      </c>
      <c r="K297" s="3" t="s">
        <v>22</v>
      </c>
      <c r="L297" s="4">
        <v>4</v>
      </c>
      <c r="M297" s="3">
        <v>550</v>
      </c>
      <c r="N297" s="3">
        <v>850</v>
      </c>
      <c r="O297" s="15">
        <f>Bike_Sales[[#This Row],[Order_Quantity]]*Bike_Sales[[#This Row],[Unit_Price]]</f>
        <v>3400</v>
      </c>
      <c r="P297" s="15">
        <f>Bike_Sales[[#This Row],[Order_Quantity]]*Bike_Sales[[#This Row],[Unit_Cost]]</f>
        <v>2200</v>
      </c>
      <c r="Q297" s="15">
        <f>Bike_Sales[[#This Row],[Total Sales]]-Bike_Sales[[#This Row],[Total Cost]]</f>
        <v>1200</v>
      </c>
      <c r="R297" s="17">
        <f>Bike_Sales[[#This Row],[Profit]]/Bike_Sales[[#This Row],[Total Sales]]</f>
        <v>0.35294117647058826</v>
      </c>
      <c r="S297" s="16" t="str">
        <f t="shared" si="4"/>
        <v>25-34</v>
      </c>
    </row>
    <row r="298" spans="1:19" x14ac:dyDescent="0.35">
      <c r="A298" s="2">
        <v>44538</v>
      </c>
      <c r="B298" s="2" t="str">
        <f>TEXT(Bike_Sales[[#This Row],[Date]],"mmmm")</f>
        <v>December</v>
      </c>
      <c r="C298" s="19">
        <f>MONTH(Bike_Sales[[#This Row],[Date]])</f>
        <v>12</v>
      </c>
      <c r="D298" s="2" t="str">
        <f>TEXT(Bike_Sales[[#This Row],[Date]],"dddd")</f>
        <v>Wednesday</v>
      </c>
      <c r="E298" s="3">
        <v>30</v>
      </c>
      <c r="F298" s="3" t="s">
        <v>135</v>
      </c>
      <c r="G298" s="3" t="s">
        <v>18</v>
      </c>
      <c r="H298" s="3" t="s">
        <v>19</v>
      </c>
      <c r="I298" s="3" t="s">
        <v>11</v>
      </c>
      <c r="J298" s="3" t="s">
        <v>104</v>
      </c>
      <c r="K298" s="3" t="s">
        <v>52</v>
      </c>
      <c r="L298" s="4">
        <v>1</v>
      </c>
      <c r="M298" s="3">
        <v>530</v>
      </c>
      <c r="N298" s="3">
        <v>840</v>
      </c>
      <c r="O298" s="15">
        <f>Bike_Sales[[#This Row],[Order_Quantity]]*Bike_Sales[[#This Row],[Unit_Price]]</f>
        <v>840</v>
      </c>
      <c r="P298" s="15">
        <f>Bike_Sales[[#This Row],[Order_Quantity]]*Bike_Sales[[#This Row],[Unit_Cost]]</f>
        <v>530</v>
      </c>
      <c r="Q298" s="15">
        <f>Bike_Sales[[#This Row],[Total Sales]]-Bike_Sales[[#This Row],[Total Cost]]</f>
        <v>310</v>
      </c>
      <c r="R298" s="17">
        <f>Bike_Sales[[#This Row],[Profit]]/Bike_Sales[[#This Row],[Total Sales]]</f>
        <v>0.36904761904761907</v>
      </c>
      <c r="S298" s="16" t="str">
        <f t="shared" si="4"/>
        <v>25-34</v>
      </c>
    </row>
    <row r="299" spans="1:19" x14ac:dyDescent="0.35">
      <c r="A299" s="2">
        <v>44544</v>
      </c>
      <c r="B299" s="2" t="str">
        <f>TEXT(Bike_Sales[[#This Row],[Date]],"mmmm")</f>
        <v>December</v>
      </c>
      <c r="C299" s="19">
        <f>MONTH(Bike_Sales[[#This Row],[Date]])</f>
        <v>12</v>
      </c>
      <c r="D299" s="2" t="str">
        <f>TEXT(Bike_Sales[[#This Row],[Date]],"dddd")</f>
        <v>Tuesday</v>
      </c>
      <c r="E299" s="3">
        <v>30</v>
      </c>
      <c r="F299" s="3" t="s">
        <v>135</v>
      </c>
      <c r="G299" s="3" t="s">
        <v>9</v>
      </c>
      <c r="H299" s="3" t="s">
        <v>37</v>
      </c>
      <c r="I299" s="3" t="s">
        <v>16</v>
      </c>
      <c r="J299" s="3" t="s">
        <v>103</v>
      </c>
      <c r="K299" s="3" t="s">
        <v>22</v>
      </c>
      <c r="L299" s="4">
        <v>2</v>
      </c>
      <c r="M299" s="3">
        <v>550</v>
      </c>
      <c r="N299" s="3">
        <v>850</v>
      </c>
      <c r="O299" s="15">
        <f>Bike_Sales[[#This Row],[Order_Quantity]]*Bike_Sales[[#This Row],[Unit_Price]]</f>
        <v>1700</v>
      </c>
      <c r="P299" s="15">
        <f>Bike_Sales[[#This Row],[Order_Quantity]]*Bike_Sales[[#This Row],[Unit_Cost]]</f>
        <v>1100</v>
      </c>
      <c r="Q299" s="15">
        <f>Bike_Sales[[#This Row],[Total Sales]]-Bike_Sales[[#This Row],[Total Cost]]</f>
        <v>600</v>
      </c>
      <c r="R299" s="17">
        <f>Bike_Sales[[#This Row],[Profit]]/Bike_Sales[[#This Row],[Total Sales]]</f>
        <v>0.35294117647058826</v>
      </c>
      <c r="S299" s="16" t="str">
        <f t="shared" si="4"/>
        <v>25-34</v>
      </c>
    </row>
    <row r="300" spans="1:19" x14ac:dyDescent="0.35">
      <c r="A300" s="2">
        <v>44544</v>
      </c>
      <c r="B300" s="2" t="str">
        <f>TEXT(Bike_Sales[[#This Row],[Date]],"mmmm")</f>
        <v>December</v>
      </c>
      <c r="C300" s="19">
        <f>MONTH(Bike_Sales[[#This Row],[Date]])</f>
        <v>12</v>
      </c>
      <c r="D300" s="2" t="str">
        <f>TEXT(Bike_Sales[[#This Row],[Date]],"dddd")</f>
        <v>Tuesday</v>
      </c>
      <c r="E300" s="3">
        <v>30</v>
      </c>
      <c r="F300" s="3" t="s">
        <v>126</v>
      </c>
      <c r="G300" s="3" t="s">
        <v>39</v>
      </c>
      <c r="H300" s="3" t="s">
        <v>76</v>
      </c>
      <c r="I300" s="3" t="s">
        <v>11</v>
      </c>
      <c r="J300" s="3" t="s">
        <v>101</v>
      </c>
      <c r="K300" s="3" t="s">
        <v>54</v>
      </c>
      <c r="L300" s="4">
        <v>2</v>
      </c>
      <c r="M300" s="3">
        <v>580</v>
      </c>
      <c r="N300" s="3">
        <v>920</v>
      </c>
      <c r="O300" s="15">
        <f>Bike_Sales[[#This Row],[Order_Quantity]]*Bike_Sales[[#This Row],[Unit_Price]]</f>
        <v>1840</v>
      </c>
      <c r="P300" s="15">
        <f>Bike_Sales[[#This Row],[Order_Quantity]]*Bike_Sales[[#This Row],[Unit_Cost]]</f>
        <v>1160</v>
      </c>
      <c r="Q300" s="15">
        <f>Bike_Sales[[#This Row],[Total Sales]]-Bike_Sales[[#This Row],[Total Cost]]</f>
        <v>680</v>
      </c>
      <c r="R300" s="17">
        <f>Bike_Sales[[#This Row],[Profit]]/Bike_Sales[[#This Row],[Total Sales]]</f>
        <v>0.36956521739130432</v>
      </c>
      <c r="S300" s="16" t="str">
        <f t="shared" si="4"/>
        <v>25-34</v>
      </c>
    </row>
    <row r="301" spans="1:19" x14ac:dyDescent="0.35">
      <c r="A301" s="2">
        <v>44552</v>
      </c>
      <c r="B301" s="2" t="str">
        <f>TEXT(Bike_Sales[[#This Row],[Date]],"mmmm")</f>
        <v>December</v>
      </c>
      <c r="C301" s="19">
        <f>MONTH(Bike_Sales[[#This Row],[Date]])</f>
        <v>12</v>
      </c>
      <c r="D301" s="2" t="str">
        <f>TEXT(Bike_Sales[[#This Row],[Date]],"dddd")</f>
        <v>Wednesday</v>
      </c>
      <c r="E301" s="3">
        <v>30</v>
      </c>
      <c r="F301" s="3" t="s">
        <v>135</v>
      </c>
      <c r="G301" s="3" t="s">
        <v>9</v>
      </c>
      <c r="H301" s="3" t="s">
        <v>37</v>
      </c>
      <c r="I301" s="3" t="s">
        <v>16</v>
      </c>
      <c r="J301" s="3" t="s">
        <v>103</v>
      </c>
      <c r="K301" s="3" t="s">
        <v>22</v>
      </c>
      <c r="L301" s="4">
        <v>3</v>
      </c>
      <c r="M301" s="3">
        <v>550</v>
      </c>
      <c r="N301" s="3">
        <v>850</v>
      </c>
      <c r="O301" s="15">
        <f>Bike_Sales[[#This Row],[Order_Quantity]]*Bike_Sales[[#This Row],[Unit_Price]]</f>
        <v>2550</v>
      </c>
      <c r="P301" s="15">
        <f>Bike_Sales[[#This Row],[Order_Quantity]]*Bike_Sales[[#This Row],[Unit_Cost]]</f>
        <v>1650</v>
      </c>
      <c r="Q301" s="15">
        <f>Bike_Sales[[#This Row],[Total Sales]]-Bike_Sales[[#This Row],[Total Cost]]</f>
        <v>900</v>
      </c>
      <c r="R301" s="17">
        <f>Bike_Sales[[#This Row],[Profit]]/Bike_Sales[[#This Row],[Total Sales]]</f>
        <v>0.35294117647058826</v>
      </c>
      <c r="S301" s="16" t="str">
        <f t="shared" si="4"/>
        <v>25-34</v>
      </c>
    </row>
    <row r="302" spans="1:19" x14ac:dyDescent="0.35">
      <c r="A302" s="2">
        <v>44553</v>
      </c>
      <c r="B302" s="2" t="str">
        <f>TEXT(Bike_Sales[[#This Row],[Date]],"mmmm")</f>
        <v>December</v>
      </c>
      <c r="C302" s="19">
        <f>MONTH(Bike_Sales[[#This Row],[Date]])</f>
        <v>12</v>
      </c>
      <c r="D302" s="2" t="str">
        <f>TEXT(Bike_Sales[[#This Row],[Date]],"dddd")</f>
        <v>Thursday</v>
      </c>
      <c r="E302" s="3">
        <v>30</v>
      </c>
      <c r="F302" s="3" t="s">
        <v>135</v>
      </c>
      <c r="G302" s="3" t="s">
        <v>9</v>
      </c>
      <c r="H302" s="3" t="s">
        <v>69</v>
      </c>
      <c r="I302" s="3" t="s">
        <v>16</v>
      </c>
      <c r="J302" s="3" t="s">
        <v>103</v>
      </c>
      <c r="K302" s="3" t="s">
        <v>45</v>
      </c>
      <c r="L302" s="4">
        <v>1</v>
      </c>
      <c r="M302" s="3">
        <v>550</v>
      </c>
      <c r="N302" s="3">
        <v>850</v>
      </c>
      <c r="O302" s="15">
        <f>Bike_Sales[[#This Row],[Order_Quantity]]*Bike_Sales[[#This Row],[Unit_Price]]</f>
        <v>850</v>
      </c>
      <c r="P302" s="15">
        <f>Bike_Sales[[#This Row],[Order_Quantity]]*Bike_Sales[[#This Row],[Unit_Cost]]</f>
        <v>550</v>
      </c>
      <c r="Q302" s="15">
        <f>Bike_Sales[[#This Row],[Total Sales]]-Bike_Sales[[#This Row],[Total Cost]]</f>
        <v>300</v>
      </c>
      <c r="R302" s="17">
        <f>Bike_Sales[[#This Row],[Profit]]/Bike_Sales[[#This Row],[Total Sales]]</f>
        <v>0.35294117647058826</v>
      </c>
      <c r="S302" s="16" t="str">
        <f t="shared" si="4"/>
        <v>25-34</v>
      </c>
    </row>
    <row r="303" spans="1:19" x14ac:dyDescent="0.35">
      <c r="A303" s="2">
        <v>44556</v>
      </c>
      <c r="B303" s="2" t="str">
        <f>TEXT(Bike_Sales[[#This Row],[Date]],"mmmm")</f>
        <v>December</v>
      </c>
      <c r="C303" s="19">
        <f>MONTH(Bike_Sales[[#This Row],[Date]])</f>
        <v>12</v>
      </c>
      <c r="D303" s="2" t="str">
        <f>TEXT(Bike_Sales[[#This Row],[Date]],"dddd")</f>
        <v>Sunday</v>
      </c>
      <c r="E303" s="3">
        <v>30</v>
      </c>
      <c r="F303" s="3" t="s">
        <v>126</v>
      </c>
      <c r="G303" s="3" t="s">
        <v>9</v>
      </c>
      <c r="H303" s="3" t="s">
        <v>10</v>
      </c>
      <c r="I303" s="3" t="s">
        <v>16</v>
      </c>
      <c r="J303" s="3" t="s">
        <v>103</v>
      </c>
      <c r="K303" s="3" t="s">
        <v>55</v>
      </c>
      <c r="L303" s="4">
        <v>2</v>
      </c>
      <c r="M303" s="3">
        <v>450</v>
      </c>
      <c r="N303" s="3">
        <v>720</v>
      </c>
      <c r="O303" s="15">
        <f>Bike_Sales[[#This Row],[Order_Quantity]]*Bike_Sales[[#This Row],[Unit_Price]]</f>
        <v>1440</v>
      </c>
      <c r="P303" s="15">
        <f>Bike_Sales[[#This Row],[Order_Quantity]]*Bike_Sales[[#This Row],[Unit_Cost]]</f>
        <v>900</v>
      </c>
      <c r="Q303" s="15">
        <f>Bike_Sales[[#This Row],[Total Sales]]-Bike_Sales[[#This Row],[Total Cost]]</f>
        <v>540</v>
      </c>
      <c r="R303" s="17">
        <f>Bike_Sales[[#This Row],[Profit]]/Bike_Sales[[#This Row],[Total Sales]]</f>
        <v>0.375</v>
      </c>
      <c r="S303" s="16" t="str">
        <f t="shared" si="4"/>
        <v>25-34</v>
      </c>
    </row>
    <row r="304" spans="1:19" x14ac:dyDescent="0.35">
      <c r="A304" s="2">
        <v>44558</v>
      </c>
      <c r="B304" s="2" t="str">
        <f>TEXT(Bike_Sales[[#This Row],[Date]],"mmmm")</f>
        <v>December</v>
      </c>
      <c r="C304" s="19">
        <f>MONTH(Bike_Sales[[#This Row],[Date]])</f>
        <v>12</v>
      </c>
      <c r="D304" s="2" t="str">
        <f>TEXT(Bike_Sales[[#This Row],[Date]],"dddd")</f>
        <v>Tuesday</v>
      </c>
      <c r="E304" s="3">
        <v>30</v>
      </c>
      <c r="F304" s="3" t="s">
        <v>135</v>
      </c>
      <c r="G304" s="3" t="s">
        <v>9</v>
      </c>
      <c r="H304" s="3" t="s">
        <v>37</v>
      </c>
      <c r="I304" s="3" t="s">
        <v>16</v>
      </c>
      <c r="J304" s="3" t="s">
        <v>103</v>
      </c>
      <c r="K304" s="3" t="s">
        <v>22</v>
      </c>
      <c r="L304" s="4">
        <v>2</v>
      </c>
      <c r="M304" s="3">
        <v>550</v>
      </c>
      <c r="N304" s="3">
        <v>850</v>
      </c>
      <c r="O304" s="15">
        <f>Bike_Sales[[#This Row],[Order_Quantity]]*Bike_Sales[[#This Row],[Unit_Price]]</f>
        <v>1700</v>
      </c>
      <c r="P304" s="15">
        <f>Bike_Sales[[#This Row],[Order_Quantity]]*Bike_Sales[[#This Row],[Unit_Cost]]</f>
        <v>1100</v>
      </c>
      <c r="Q304" s="15">
        <f>Bike_Sales[[#This Row],[Total Sales]]-Bike_Sales[[#This Row],[Total Cost]]</f>
        <v>600</v>
      </c>
      <c r="R304" s="17">
        <f>Bike_Sales[[#This Row],[Profit]]/Bike_Sales[[#This Row],[Total Sales]]</f>
        <v>0.35294117647058826</v>
      </c>
      <c r="S304" s="16" t="str">
        <f t="shared" si="4"/>
        <v>25-34</v>
      </c>
    </row>
    <row r="305" spans="1:19" x14ac:dyDescent="0.35">
      <c r="A305" s="2">
        <v>44559</v>
      </c>
      <c r="B305" s="2" t="str">
        <f>TEXT(Bike_Sales[[#This Row],[Date]],"mmmm")</f>
        <v>December</v>
      </c>
      <c r="C305" s="19">
        <f>MONTH(Bike_Sales[[#This Row],[Date]])</f>
        <v>12</v>
      </c>
      <c r="D305" s="2" t="str">
        <f>TEXT(Bike_Sales[[#This Row],[Date]],"dddd")</f>
        <v>Wednesday</v>
      </c>
      <c r="E305" s="3">
        <v>30</v>
      </c>
      <c r="F305" s="3" t="s">
        <v>126</v>
      </c>
      <c r="G305" s="3" t="s">
        <v>39</v>
      </c>
      <c r="H305" s="3" t="s">
        <v>131</v>
      </c>
      <c r="I305" s="3" t="s">
        <v>11</v>
      </c>
      <c r="J305" s="3" t="s">
        <v>104</v>
      </c>
      <c r="K305" s="3" t="s">
        <v>53</v>
      </c>
      <c r="L305" s="4">
        <v>2</v>
      </c>
      <c r="M305" s="3">
        <v>500</v>
      </c>
      <c r="N305" s="3">
        <v>800</v>
      </c>
      <c r="O305" s="15">
        <f>Bike_Sales[[#This Row],[Order_Quantity]]*Bike_Sales[[#This Row],[Unit_Price]]</f>
        <v>1600</v>
      </c>
      <c r="P305" s="15">
        <f>Bike_Sales[[#This Row],[Order_Quantity]]*Bike_Sales[[#This Row],[Unit_Cost]]</f>
        <v>1000</v>
      </c>
      <c r="Q305" s="15">
        <f>Bike_Sales[[#This Row],[Total Sales]]-Bike_Sales[[#This Row],[Total Cost]]</f>
        <v>600</v>
      </c>
      <c r="R305" s="17">
        <f>Bike_Sales[[#This Row],[Profit]]/Bike_Sales[[#This Row],[Total Sales]]</f>
        <v>0.375</v>
      </c>
      <c r="S305" s="16" t="str">
        <f t="shared" si="4"/>
        <v>25-34</v>
      </c>
    </row>
    <row r="306" spans="1:19" x14ac:dyDescent="0.35">
      <c r="A306" s="2">
        <v>44560</v>
      </c>
      <c r="B306" s="2" t="str">
        <f>TEXT(Bike_Sales[[#This Row],[Date]],"mmmm")</f>
        <v>December</v>
      </c>
      <c r="C306" s="19">
        <f>MONTH(Bike_Sales[[#This Row],[Date]])</f>
        <v>12</v>
      </c>
      <c r="D306" s="2" t="str">
        <f>TEXT(Bike_Sales[[#This Row],[Date]],"dddd")</f>
        <v>Thursday</v>
      </c>
      <c r="E306" s="3">
        <v>30</v>
      </c>
      <c r="F306" s="3" t="s">
        <v>126</v>
      </c>
      <c r="G306" s="3" t="s">
        <v>18</v>
      </c>
      <c r="H306" s="3" t="s">
        <v>35</v>
      </c>
      <c r="I306" s="3" t="s">
        <v>11</v>
      </c>
      <c r="J306" s="3" t="s">
        <v>102</v>
      </c>
      <c r="K306" s="3" t="s">
        <v>43</v>
      </c>
      <c r="L306" s="4">
        <v>1</v>
      </c>
      <c r="M306" s="3">
        <v>900</v>
      </c>
      <c r="N306" s="3">
        <v>1400</v>
      </c>
      <c r="O306" s="15">
        <f>Bike_Sales[[#This Row],[Order_Quantity]]*Bike_Sales[[#This Row],[Unit_Price]]</f>
        <v>1400</v>
      </c>
      <c r="P306" s="15">
        <f>Bike_Sales[[#This Row],[Order_Quantity]]*Bike_Sales[[#This Row],[Unit_Cost]]</f>
        <v>900</v>
      </c>
      <c r="Q306" s="15">
        <f>Bike_Sales[[#This Row],[Total Sales]]-Bike_Sales[[#This Row],[Total Cost]]</f>
        <v>500</v>
      </c>
      <c r="R306" s="17">
        <f>Bike_Sales[[#This Row],[Profit]]/Bike_Sales[[#This Row],[Total Sales]]</f>
        <v>0.35714285714285715</v>
      </c>
      <c r="S306" s="16" t="str">
        <f t="shared" si="4"/>
        <v>25-34</v>
      </c>
    </row>
    <row r="307" spans="1:19" x14ac:dyDescent="0.35">
      <c r="A307" s="2">
        <v>44477</v>
      </c>
      <c r="B307" s="2" t="str">
        <f>TEXT(Bike_Sales[[#This Row],[Date]],"mmmm")</f>
        <v>October</v>
      </c>
      <c r="C307" s="19">
        <f>MONTH(Bike_Sales[[#This Row],[Date]])</f>
        <v>10</v>
      </c>
      <c r="D307" s="2" t="str">
        <f>TEXT(Bike_Sales[[#This Row],[Date]],"dddd")</f>
        <v>Friday</v>
      </c>
      <c r="E307" s="3">
        <v>31</v>
      </c>
      <c r="F307" s="3" t="s">
        <v>135</v>
      </c>
      <c r="G307" s="3" t="s">
        <v>33</v>
      </c>
      <c r="H307" s="3" t="s">
        <v>56</v>
      </c>
      <c r="I307" s="3" t="s">
        <v>11</v>
      </c>
      <c r="J307" s="3" t="s">
        <v>101</v>
      </c>
      <c r="K307" s="3" t="s">
        <v>31</v>
      </c>
      <c r="L307" s="4">
        <v>3</v>
      </c>
      <c r="M307" s="3">
        <v>580</v>
      </c>
      <c r="N307" s="3">
        <v>920</v>
      </c>
      <c r="O307" s="15">
        <f>Bike_Sales[[#This Row],[Order_Quantity]]*Bike_Sales[[#This Row],[Unit_Price]]</f>
        <v>2760</v>
      </c>
      <c r="P307" s="15">
        <f>Bike_Sales[[#This Row],[Order_Quantity]]*Bike_Sales[[#This Row],[Unit_Cost]]</f>
        <v>1740</v>
      </c>
      <c r="Q307" s="15">
        <f>Bike_Sales[[#This Row],[Total Sales]]-Bike_Sales[[#This Row],[Total Cost]]</f>
        <v>1020</v>
      </c>
      <c r="R307" s="17">
        <f>Bike_Sales[[#This Row],[Profit]]/Bike_Sales[[#This Row],[Total Sales]]</f>
        <v>0.36956521739130432</v>
      </c>
      <c r="S307" s="16" t="str">
        <f t="shared" si="4"/>
        <v>25-34</v>
      </c>
    </row>
    <row r="308" spans="1:19" x14ac:dyDescent="0.35">
      <c r="A308" s="2">
        <v>44482</v>
      </c>
      <c r="B308" s="2" t="str">
        <f>TEXT(Bike_Sales[[#This Row],[Date]],"mmmm")</f>
        <v>October</v>
      </c>
      <c r="C308" s="19">
        <f>MONTH(Bike_Sales[[#This Row],[Date]])</f>
        <v>10</v>
      </c>
      <c r="D308" s="2" t="str">
        <f>TEXT(Bike_Sales[[#This Row],[Date]],"dddd")</f>
        <v>Wednesday</v>
      </c>
      <c r="E308" s="3">
        <v>31</v>
      </c>
      <c r="F308" s="3" t="s">
        <v>135</v>
      </c>
      <c r="G308" s="3" t="s">
        <v>9</v>
      </c>
      <c r="H308" s="3" t="s">
        <v>10</v>
      </c>
      <c r="I308" s="3" t="s">
        <v>16</v>
      </c>
      <c r="J308" s="3" t="s">
        <v>101</v>
      </c>
      <c r="K308" s="3" t="s">
        <v>17</v>
      </c>
      <c r="L308" s="4">
        <v>1</v>
      </c>
      <c r="M308" s="3">
        <v>550</v>
      </c>
      <c r="N308" s="3">
        <v>850</v>
      </c>
      <c r="O308" s="15">
        <f>Bike_Sales[[#This Row],[Order_Quantity]]*Bike_Sales[[#This Row],[Unit_Price]]</f>
        <v>850</v>
      </c>
      <c r="P308" s="15">
        <f>Bike_Sales[[#This Row],[Order_Quantity]]*Bike_Sales[[#This Row],[Unit_Cost]]</f>
        <v>550</v>
      </c>
      <c r="Q308" s="15">
        <f>Bike_Sales[[#This Row],[Total Sales]]-Bike_Sales[[#This Row],[Total Cost]]</f>
        <v>300</v>
      </c>
      <c r="R308" s="17">
        <f>Bike_Sales[[#This Row],[Profit]]/Bike_Sales[[#This Row],[Total Sales]]</f>
        <v>0.35294117647058826</v>
      </c>
      <c r="S308" s="16" t="str">
        <f t="shared" si="4"/>
        <v>25-34</v>
      </c>
    </row>
    <row r="309" spans="1:19" x14ac:dyDescent="0.35">
      <c r="A309" s="2">
        <v>44483</v>
      </c>
      <c r="B309" s="2" t="str">
        <f>TEXT(Bike_Sales[[#This Row],[Date]],"mmmm")</f>
        <v>October</v>
      </c>
      <c r="C309" s="19">
        <f>MONTH(Bike_Sales[[#This Row],[Date]])</f>
        <v>10</v>
      </c>
      <c r="D309" s="2" t="str">
        <f>TEXT(Bike_Sales[[#This Row],[Date]],"dddd")</f>
        <v>Thursday</v>
      </c>
      <c r="E309" s="3">
        <v>31</v>
      </c>
      <c r="F309" s="3" t="s">
        <v>126</v>
      </c>
      <c r="G309" s="3" t="s">
        <v>33</v>
      </c>
      <c r="H309" s="3" t="s">
        <v>61</v>
      </c>
      <c r="I309" s="3" t="s">
        <v>11</v>
      </c>
      <c r="J309" s="3" t="s">
        <v>102</v>
      </c>
      <c r="K309" s="3" t="s">
        <v>72</v>
      </c>
      <c r="L309" s="4">
        <v>1</v>
      </c>
      <c r="M309" s="3">
        <v>580</v>
      </c>
      <c r="N309" s="3">
        <v>920</v>
      </c>
      <c r="O309" s="15">
        <f>Bike_Sales[[#This Row],[Order_Quantity]]*Bike_Sales[[#This Row],[Unit_Price]]</f>
        <v>920</v>
      </c>
      <c r="P309" s="15">
        <f>Bike_Sales[[#This Row],[Order_Quantity]]*Bike_Sales[[#This Row],[Unit_Cost]]</f>
        <v>580</v>
      </c>
      <c r="Q309" s="15">
        <f>Bike_Sales[[#This Row],[Total Sales]]-Bike_Sales[[#This Row],[Total Cost]]</f>
        <v>340</v>
      </c>
      <c r="R309" s="17">
        <f>Bike_Sales[[#This Row],[Profit]]/Bike_Sales[[#This Row],[Total Sales]]</f>
        <v>0.36956521739130432</v>
      </c>
      <c r="S309" s="16" t="str">
        <f t="shared" si="4"/>
        <v>25-34</v>
      </c>
    </row>
    <row r="310" spans="1:19" x14ac:dyDescent="0.35">
      <c r="A310" s="2">
        <v>44488</v>
      </c>
      <c r="B310" s="2" t="str">
        <f>TEXT(Bike_Sales[[#This Row],[Date]],"mmmm")</f>
        <v>October</v>
      </c>
      <c r="C310" s="19">
        <f>MONTH(Bike_Sales[[#This Row],[Date]])</f>
        <v>10</v>
      </c>
      <c r="D310" s="2" t="str">
        <f>TEXT(Bike_Sales[[#This Row],[Date]],"dddd")</f>
        <v>Tuesday</v>
      </c>
      <c r="E310" s="3">
        <v>31</v>
      </c>
      <c r="F310" s="3" t="s">
        <v>135</v>
      </c>
      <c r="G310" s="3" t="s">
        <v>9</v>
      </c>
      <c r="H310" s="3" t="s">
        <v>37</v>
      </c>
      <c r="I310" s="3" t="s">
        <v>16</v>
      </c>
      <c r="J310" s="3" t="s">
        <v>103</v>
      </c>
      <c r="K310" s="3" t="s">
        <v>22</v>
      </c>
      <c r="L310" s="4">
        <v>1</v>
      </c>
      <c r="M310" s="3">
        <v>550</v>
      </c>
      <c r="N310" s="3">
        <v>850</v>
      </c>
      <c r="O310" s="15">
        <f>Bike_Sales[[#This Row],[Order_Quantity]]*Bike_Sales[[#This Row],[Unit_Price]]</f>
        <v>850</v>
      </c>
      <c r="P310" s="15">
        <f>Bike_Sales[[#This Row],[Order_Quantity]]*Bike_Sales[[#This Row],[Unit_Cost]]</f>
        <v>550</v>
      </c>
      <c r="Q310" s="15">
        <f>Bike_Sales[[#This Row],[Total Sales]]-Bike_Sales[[#This Row],[Total Cost]]</f>
        <v>300</v>
      </c>
      <c r="R310" s="17">
        <f>Bike_Sales[[#This Row],[Profit]]/Bike_Sales[[#This Row],[Total Sales]]</f>
        <v>0.35294117647058826</v>
      </c>
      <c r="S310" s="16" t="str">
        <f t="shared" si="4"/>
        <v>25-34</v>
      </c>
    </row>
    <row r="311" spans="1:19" x14ac:dyDescent="0.35">
      <c r="A311" s="2">
        <v>44488</v>
      </c>
      <c r="B311" s="2" t="str">
        <f>TEXT(Bike_Sales[[#This Row],[Date]],"mmmm")</f>
        <v>October</v>
      </c>
      <c r="C311" s="19">
        <f>MONTH(Bike_Sales[[#This Row],[Date]])</f>
        <v>10</v>
      </c>
      <c r="D311" s="2" t="str">
        <f>TEXT(Bike_Sales[[#This Row],[Date]],"dddd")</f>
        <v>Tuesday</v>
      </c>
      <c r="E311" s="3">
        <v>31</v>
      </c>
      <c r="F311" s="3" t="s">
        <v>126</v>
      </c>
      <c r="G311" s="3" t="s">
        <v>18</v>
      </c>
      <c r="H311" s="3" t="s">
        <v>35</v>
      </c>
      <c r="I311" s="3" t="s">
        <v>11</v>
      </c>
      <c r="J311" s="3" t="s">
        <v>104</v>
      </c>
      <c r="K311" s="3" t="s">
        <v>77</v>
      </c>
      <c r="L311" s="4">
        <v>1</v>
      </c>
      <c r="M311" s="3">
        <v>500</v>
      </c>
      <c r="N311" s="3">
        <v>800</v>
      </c>
      <c r="O311" s="15">
        <f>Bike_Sales[[#This Row],[Order_Quantity]]*Bike_Sales[[#This Row],[Unit_Price]]</f>
        <v>800</v>
      </c>
      <c r="P311" s="15">
        <f>Bike_Sales[[#This Row],[Order_Quantity]]*Bike_Sales[[#This Row],[Unit_Cost]]</f>
        <v>500</v>
      </c>
      <c r="Q311" s="15">
        <f>Bike_Sales[[#This Row],[Total Sales]]-Bike_Sales[[#This Row],[Total Cost]]</f>
        <v>300</v>
      </c>
      <c r="R311" s="17">
        <f>Bike_Sales[[#This Row],[Profit]]/Bike_Sales[[#This Row],[Total Sales]]</f>
        <v>0.375</v>
      </c>
      <c r="S311" s="16" t="str">
        <f t="shared" si="4"/>
        <v>25-34</v>
      </c>
    </row>
    <row r="312" spans="1:19" x14ac:dyDescent="0.35">
      <c r="A312" s="2">
        <v>44494</v>
      </c>
      <c r="B312" s="2" t="str">
        <f>TEXT(Bike_Sales[[#This Row],[Date]],"mmmm")</f>
        <v>October</v>
      </c>
      <c r="C312" s="19">
        <f>MONTH(Bike_Sales[[#This Row],[Date]])</f>
        <v>10</v>
      </c>
      <c r="D312" s="2" t="str">
        <f>TEXT(Bike_Sales[[#This Row],[Date]],"dddd")</f>
        <v>Monday</v>
      </c>
      <c r="E312" s="3">
        <v>31</v>
      </c>
      <c r="F312" s="3" t="s">
        <v>135</v>
      </c>
      <c r="G312" s="3" t="s">
        <v>18</v>
      </c>
      <c r="H312" s="3" t="s">
        <v>35</v>
      </c>
      <c r="I312" s="3" t="s">
        <v>16</v>
      </c>
      <c r="J312" s="3" t="s">
        <v>101</v>
      </c>
      <c r="K312" s="3" t="s">
        <v>49</v>
      </c>
      <c r="L312" s="4">
        <v>4</v>
      </c>
      <c r="M312" s="3">
        <v>550</v>
      </c>
      <c r="N312" s="3">
        <v>850</v>
      </c>
      <c r="O312" s="15">
        <f>Bike_Sales[[#This Row],[Order_Quantity]]*Bike_Sales[[#This Row],[Unit_Price]]</f>
        <v>3400</v>
      </c>
      <c r="P312" s="15">
        <f>Bike_Sales[[#This Row],[Order_Quantity]]*Bike_Sales[[#This Row],[Unit_Cost]]</f>
        <v>2200</v>
      </c>
      <c r="Q312" s="15">
        <f>Bike_Sales[[#This Row],[Total Sales]]-Bike_Sales[[#This Row],[Total Cost]]</f>
        <v>1200</v>
      </c>
      <c r="R312" s="17">
        <f>Bike_Sales[[#This Row],[Profit]]/Bike_Sales[[#This Row],[Total Sales]]</f>
        <v>0.35294117647058826</v>
      </c>
      <c r="S312" s="16" t="str">
        <f t="shared" si="4"/>
        <v>25-34</v>
      </c>
    </row>
    <row r="313" spans="1:19" x14ac:dyDescent="0.35">
      <c r="A313" s="2">
        <v>44497</v>
      </c>
      <c r="B313" s="2" t="str">
        <f>TEXT(Bike_Sales[[#This Row],[Date]],"mmmm")</f>
        <v>October</v>
      </c>
      <c r="C313" s="19">
        <f>MONTH(Bike_Sales[[#This Row],[Date]])</f>
        <v>10</v>
      </c>
      <c r="D313" s="2" t="str">
        <f>TEXT(Bike_Sales[[#This Row],[Date]],"dddd")</f>
        <v>Thursday</v>
      </c>
      <c r="E313" s="3">
        <v>31</v>
      </c>
      <c r="F313" s="3" t="s">
        <v>126</v>
      </c>
      <c r="G313" s="3" t="s">
        <v>33</v>
      </c>
      <c r="H313" s="3" t="s">
        <v>73</v>
      </c>
      <c r="I313" s="3" t="s">
        <v>11</v>
      </c>
      <c r="J313" s="3" t="s">
        <v>101</v>
      </c>
      <c r="K313" s="3" t="s">
        <v>67</v>
      </c>
      <c r="L313" s="4">
        <v>3</v>
      </c>
      <c r="M313" s="3">
        <v>700</v>
      </c>
      <c r="N313" s="3">
        <v>1100</v>
      </c>
      <c r="O313" s="15">
        <f>Bike_Sales[[#This Row],[Order_Quantity]]*Bike_Sales[[#This Row],[Unit_Price]]</f>
        <v>3300</v>
      </c>
      <c r="P313" s="15">
        <f>Bike_Sales[[#This Row],[Order_Quantity]]*Bike_Sales[[#This Row],[Unit_Cost]]</f>
        <v>2100</v>
      </c>
      <c r="Q313" s="15">
        <f>Bike_Sales[[#This Row],[Total Sales]]-Bike_Sales[[#This Row],[Total Cost]]</f>
        <v>1200</v>
      </c>
      <c r="R313" s="17">
        <f>Bike_Sales[[#This Row],[Profit]]/Bike_Sales[[#This Row],[Total Sales]]</f>
        <v>0.36363636363636365</v>
      </c>
      <c r="S313" s="16" t="str">
        <f t="shared" si="4"/>
        <v>25-34</v>
      </c>
    </row>
    <row r="314" spans="1:19" x14ac:dyDescent="0.35">
      <c r="A314" s="2">
        <v>44505</v>
      </c>
      <c r="B314" s="2" t="str">
        <f>TEXT(Bike_Sales[[#This Row],[Date]],"mmmm")</f>
        <v>November</v>
      </c>
      <c r="C314" s="19">
        <f>MONTH(Bike_Sales[[#This Row],[Date]])</f>
        <v>11</v>
      </c>
      <c r="D314" s="2" t="str">
        <f>TEXT(Bike_Sales[[#This Row],[Date]],"dddd")</f>
        <v>Friday</v>
      </c>
      <c r="E314" s="3">
        <v>31</v>
      </c>
      <c r="F314" s="3" t="s">
        <v>135</v>
      </c>
      <c r="G314" s="3" t="s">
        <v>9</v>
      </c>
      <c r="H314" s="3" t="s">
        <v>69</v>
      </c>
      <c r="I314" s="3" t="s">
        <v>11</v>
      </c>
      <c r="J314" s="3" t="s">
        <v>102</v>
      </c>
      <c r="K314" s="3" t="s">
        <v>29</v>
      </c>
      <c r="L314" s="4">
        <v>1</v>
      </c>
      <c r="M314" s="3">
        <v>900</v>
      </c>
      <c r="N314" s="3">
        <v>1400</v>
      </c>
      <c r="O314" s="15">
        <f>Bike_Sales[[#This Row],[Order_Quantity]]*Bike_Sales[[#This Row],[Unit_Price]]</f>
        <v>1400</v>
      </c>
      <c r="P314" s="15">
        <f>Bike_Sales[[#This Row],[Order_Quantity]]*Bike_Sales[[#This Row],[Unit_Cost]]</f>
        <v>900</v>
      </c>
      <c r="Q314" s="15">
        <f>Bike_Sales[[#This Row],[Total Sales]]-Bike_Sales[[#This Row],[Total Cost]]</f>
        <v>500</v>
      </c>
      <c r="R314" s="17">
        <f>Bike_Sales[[#This Row],[Profit]]/Bike_Sales[[#This Row],[Total Sales]]</f>
        <v>0.35714285714285715</v>
      </c>
      <c r="S314" s="16" t="str">
        <f t="shared" si="4"/>
        <v>25-34</v>
      </c>
    </row>
    <row r="315" spans="1:19" x14ac:dyDescent="0.35">
      <c r="A315" s="2">
        <v>44512</v>
      </c>
      <c r="B315" s="2" t="str">
        <f>TEXT(Bike_Sales[[#This Row],[Date]],"mmmm")</f>
        <v>November</v>
      </c>
      <c r="C315" s="19">
        <f>MONTH(Bike_Sales[[#This Row],[Date]])</f>
        <v>11</v>
      </c>
      <c r="D315" s="2" t="str">
        <f>TEXT(Bike_Sales[[#This Row],[Date]],"dddd")</f>
        <v>Friday</v>
      </c>
      <c r="E315" s="3">
        <v>31</v>
      </c>
      <c r="F315" s="3" t="s">
        <v>126</v>
      </c>
      <c r="G315" s="3" t="s">
        <v>129</v>
      </c>
      <c r="H315" s="3" t="s">
        <v>15</v>
      </c>
      <c r="I315" s="3" t="s">
        <v>11</v>
      </c>
      <c r="J315" s="3" t="s">
        <v>104</v>
      </c>
      <c r="K315" s="3" t="s">
        <v>20</v>
      </c>
      <c r="L315" s="4">
        <v>1</v>
      </c>
      <c r="M315" s="3">
        <v>530</v>
      </c>
      <c r="N315" s="3">
        <v>840</v>
      </c>
      <c r="O315" s="15">
        <f>Bike_Sales[[#This Row],[Order_Quantity]]*Bike_Sales[[#This Row],[Unit_Price]]</f>
        <v>840</v>
      </c>
      <c r="P315" s="15">
        <f>Bike_Sales[[#This Row],[Order_Quantity]]*Bike_Sales[[#This Row],[Unit_Cost]]</f>
        <v>530</v>
      </c>
      <c r="Q315" s="15">
        <f>Bike_Sales[[#This Row],[Total Sales]]-Bike_Sales[[#This Row],[Total Cost]]</f>
        <v>310</v>
      </c>
      <c r="R315" s="17">
        <f>Bike_Sales[[#This Row],[Profit]]/Bike_Sales[[#This Row],[Total Sales]]</f>
        <v>0.36904761904761907</v>
      </c>
      <c r="S315" s="16" t="str">
        <f t="shared" si="4"/>
        <v>25-34</v>
      </c>
    </row>
    <row r="316" spans="1:19" x14ac:dyDescent="0.35">
      <c r="A316" s="2">
        <v>44528</v>
      </c>
      <c r="B316" s="2" t="str">
        <f>TEXT(Bike_Sales[[#This Row],[Date]],"mmmm")</f>
        <v>November</v>
      </c>
      <c r="C316" s="19">
        <f>MONTH(Bike_Sales[[#This Row],[Date]])</f>
        <v>11</v>
      </c>
      <c r="D316" s="2" t="str">
        <f>TEXT(Bike_Sales[[#This Row],[Date]],"dddd")</f>
        <v>Sunday</v>
      </c>
      <c r="E316" s="3">
        <v>31</v>
      </c>
      <c r="F316" s="3" t="s">
        <v>126</v>
      </c>
      <c r="G316" s="3" t="s">
        <v>9</v>
      </c>
      <c r="H316" s="3" t="s">
        <v>37</v>
      </c>
      <c r="I316" s="3" t="s">
        <v>11</v>
      </c>
      <c r="J316" s="3" t="s">
        <v>101</v>
      </c>
      <c r="K316" s="3" t="s">
        <v>89</v>
      </c>
      <c r="L316" s="4">
        <v>1</v>
      </c>
      <c r="M316" s="3">
        <v>620</v>
      </c>
      <c r="N316" s="3">
        <v>980</v>
      </c>
      <c r="O316" s="15">
        <f>Bike_Sales[[#This Row],[Order_Quantity]]*Bike_Sales[[#This Row],[Unit_Price]]</f>
        <v>980</v>
      </c>
      <c r="P316" s="15">
        <f>Bike_Sales[[#This Row],[Order_Quantity]]*Bike_Sales[[#This Row],[Unit_Cost]]</f>
        <v>620</v>
      </c>
      <c r="Q316" s="15">
        <f>Bike_Sales[[#This Row],[Total Sales]]-Bike_Sales[[#This Row],[Total Cost]]</f>
        <v>360</v>
      </c>
      <c r="R316" s="17">
        <f>Bike_Sales[[#This Row],[Profit]]/Bike_Sales[[#This Row],[Total Sales]]</f>
        <v>0.36734693877551022</v>
      </c>
      <c r="S316" s="16" t="str">
        <f t="shared" si="4"/>
        <v>25-34</v>
      </c>
    </row>
    <row r="317" spans="1:19" x14ac:dyDescent="0.35">
      <c r="A317" s="2">
        <v>44531</v>
      </c>
      <c r="B317" s="2" t="str">
        <f>TEXT(Bike_Sales[[#This Row],[Date]],"mmmm")</f>
        <v>December</v>
      </c>
      <c r="C317" s="19">
        <f>MONTH(Bike_Sales[[#This Row],[Date]])</f>
        <v>12</v>
      </c>
      <c r="D317" s="2" t="str">
        <f>TEXT(Bike_Sales[[#This Row],[Date]],"dddd")</f>
        <v>Wednesday</v>
      </c>
      <c r="E317" s="3">
        <v>31</v>
      </c>
      <c r="F317" s="3" t="s">
        <v>135</v>
      </c>
      <c r="G317" s="3" t="s">
        <v>18</v>
      </c>
      <c r="H317" s="3" t="s">
        <v>21</v>
      </c>
      <c r="I317" s="3" t="s">
        <v>11</v>
      </c>
      <c r="J317" s="3" t="s">
        <v>101</v>
      </c>
      <c r="K317" s="3" t="s">
        <v>54</v>
      </c>
      <c r="L317" s="4">
        <v>1</v>
      </c>
      <c r="M317" s="3">
        <v>580</v>
      </c>
      <c r="N317" s="3">
        <v>920</v>
      </c>
      <c r="O317" s="15">
        <f>Bike_Sales[[#This Row],[Order_Quantity]]*Bike_Sales[[#This Row],[Unit_Price]]</f>
        <v>920</v>
      </c>
      <c r="P317" s="15">
        <f>Bike_Sales[[#This Row],[Order_Quantity]]*Bike_Sales[[#This Row],[Unit_Cost]]</f>
        <v>580</v>
      </c>
      <c r="Q317" s="15">
        <f>Bike_Sales[[#This Row],[Total Sales]]-Bike_Sales[[#This Row],[Total Cost]]</f>
        <v>340</v>
      </c>
      <c r="R317" s="17">
        <f>Bike_Sales[[#This Row],[Profit]]/Bike_Sales[[#This Row],[Total Sales]]</f>
        <v>0.36956521739130432</v>
      </c>
      <c r="S317" s="16" t="str">
        <f t="shared" si="4"/>
        <v>25-34</v>
      </c>
    </row>
    <row r="318" spans="1:19" x14ac:dyDescent="0.35">
      <c r="A318" s="2">
        <v>44532</v>
      </c>
      <c r="B318" s="2" t="str">
        <f>TEXT(Bike_Sales[[#This Row],[Date]],"mmmm")</f>
        <v>December</v>
      </c>
      <c r="C318" s="19">
        <f>MONTH(Bike_Sales[[#This Row],[Date]])</f>
        <v>12</v>
      </c>
      <c r="D318" s="2" t="str">
        <f>TEXT(Bike_Sales[[#This Row],[Date]],"dddd")</f>
        <v>Thursday</v>
      </c>
      <c r="E318" s="3">
        <v>31</v>
      </c>
      <c r="F318" s="3" t="s">
        <v>135</v>
      </c>
      <c r="G318" s="3" t="s">
        <v>18</v>
      </c>
      <c r="H318" s="3" t="s">
        <v>24</v>
      </c>
      <c r="I318" s="3" t="s">
        <v>16</v>
      </c>
      <c r="J318" s="3" t="s">
        <v>103</v>
      </c>
      <c r="K318" s="3" t="s">
        <v>83</v>
      </c>
      <c r="L318" s="4">
        <v>1</v>
      </c>
      <c r="M318" s="3">
        <v>450</v>
      </c>
      <c r="N318" s="3">
        <v>720</v>
      </c>
      <c r="O318" s="15">
        <f>Bike_Sales[[#This Row],[Order_Quantity]]*Bike_Sales[[#This Row],[Unit_Price]]</f>
        <v>720</v>
      </c>
      <c r="P318" s="15">
        <f>Bike_Sales[[#This Row],[Order_Quantity]]*Bike_Sales[[#This Row],[Unit_Cost]]</f>
        <v>450</v>
      </c>
      <c r="Q318" s="15">
        <f>Bike_Sales[[#This Row],[Total Sales]]-Bike_Sales[[#This Row],[Total Cost]]</f>
        <v>270</v>
      </c>
      <c r="R318" s="17">
        <f>Bike_Sales[[#This Row],[Profit]]/Bike_Sales[[#This Row],[Total Sales]]</f>
        <v>0.375</v>
      </c>
      <c r="S318" s="16" t="str">
        <f t="shared" si="4"/>
        <v>25-34</v>
      </c>
    </row>
    <row r="319" spans="1:19" x14ac:dyDescent="0.35">
      <c r="A319" s="2">
        <v>44532</v>
      </c>
      <c r="B319" s="2" t="str">
        <f>TEXT(Bike_Sales[[#This Row],[Date]],"mmmm")</f>
        <v>December</v>
      </c>
      <c r="C319" s="19">
        <f>MONTH(Bike_Sales[[#This Row],[Date]])</f>
        <v>12</v>
      </c>
      <c r="D319" s="2" t="str">
        <f>TEXT(Bike_Sales[[#This Row],[Date]],"dddd")</f>
        <v>Thursday</v>
      </c>
      <c r="E319" s="3">
        <v>31</v>
      </c>
      <c r="F319" s="3" t="s">
        <v>135</v>
      </c>
      <c r="G319" s="3" t="s">
        <v>9</v>
      </c>
      <c r="H319" s="3" t="s">
        <v>10</v>
      </c>
      <c r="I319" s="3" t="s">
        <v>11</v>
      </c>
      <c r="J319" s="3" t="s">
        <v>101</v>
      </c>
      <c r="K319" s="3" t="s">
        <v>91</v>
      </c>
      <c r="L319" s="4">
        <v>1</v>
      </c>
      <c r="M319" s="3">
        <v>620</v>
      </c>
      <c r="N319" s="3">
        <v>980</v>
      </c>
      <c r="O319" s="15">
        <f>Bike_Sales[[#This Row],[Order_Quantity]]*Bike_Sales[[#This Row],[Unit_Price]]</f>
        <v>980</v>
      </c>
      <c r="P319" s="15">
        <f>Bike_Sales[[#This Row],[Order_Quantity]]*Bike_Sales[[#This Row],[Unit_Cost]]</f>
        <v>620</v>
      </c>
      <c r="Q319" s="15">
        <f>Bike_Sales[[#This Row],[Total Sales]]-Bike_Sales[[#This Row],[Total Cost]]</f>
        <v>360</v>
      </c>
      <c r="R319" s="17">
        <f>Bike_Sales[[#This Row],[Profit]]/Bike_Sales[[#This Row],[Total Sales]]</f>
        <v>0.36734693877551022</v>
      </c>
      <c r="S319" s="16" t="str">
        <f t="shared" si="4"/>
        <v>25-34</v>
      </c>
    </row>
    <row r="320" spans="1:19" x14ac:dyDescent="0.35">
      <c r="A320" s="2">
        <v>44533</v>
      </c>
      <c r="B320" s="2" t="str">
        <f>TEXT(Bike_Sales[[#This Row],[Date]],"mmmm")</f>
        <v>December</v>
      </c>
      <c r="C320" s="19">
        <f>MONTH(Bike_Sales[[#This Row],[Date]])</f>
        <v>12</v>
      </c>
      <c r="D320" s="2" t="str">
        <f>TEXT(Bike_Sales[[#This Row],[Date]],"dddd")</f>
        <v>Friday</v>
      </c>
      <c r="E320" s="3">
        <v>31</v>
      </c>
      <c r="F320" s="3" t="s">
        <v>135</v>
      </c>
      <c r="G320" s="3" t="s">
        <v>9</v>
      </c>
      <c r="H320" s="3" t="s">
        <v>10</v>
      </c>
      <c r="I320" s="3" t="s">
        <v>11</v>
      </c>
      <c r="J320" s="3" t="s">
        <v>101</v>
      </c>
      <c r="K320" s="3" t="s">
        <v>91</v>
      </c>
      <c r="L320" s="4">
        <v>4</v>
      </c>
      <c r="M320" s="3">
        <v>620</v>
      </c>
      <c r="N320" s="3">
        <v>980</v>
      </c>
      <c r="O320" s="15">
        <f>Bike_Sales[[#This Row],[Order_Quantity]]*Bike_Sales[[#This Row],[Unit_Price]]</f>
        <v>3920</v>
      </c>
      <c r="P320" s="15">
        <f>Bike_Sales[[#This Row],[Order_Quantity]]*Bike_Sales[[#This Row],[Unit_Cost]]</f>
        <v>2480</v>
      </c>
      <c r="Q320" s="15">
        <f>Bike_Sales[[#This Row],[Total Sales]]-Bike_Sales[[#This Row],[Total Cost]]</f>
        <v>1440</v>
      </c>
      <c r="R320" s="17">
        <f>Bike_Sales[[#This Row],[Profit]]/Bike_Sales[[#This Row],[Total Sales]]</f>
        <v>0.36734693877551022</v>
      </c>
      <c r="S320" s="16" t="str">
        <f t="shared" si="4"/>
        <v>25-34</v>
      </c>
    </row>
    <row r="321" spans="1:19" x14ac:dyDescent="0.35">
      <c r="A321" s="2">
        <v>44534</v>
      </c>
      <c r="B321" s="2" t="str">
        <f>TEXT(Bike_Sales[[#This Row],[Date]],"mmmm")</f>
        <v>December</v>
      </c>
      <c r="C321" s="19">
        <f>MONTH(Bike_Sales[[#This Row],[Date]])</f>
        <v>12</v>
      </c>
      <c r="D321" s="2" t="str">
        <f>TEXT(Bike_Sales[[#This Row],[Date]],"dddd")</f>
        <v>Saturday</v>
      </c>
      <c r="E321" s="3">
        <v>31</v>
      </c>
      <c r="F321" s="3" t="s">
        <v>135</v>
      </c>
      <c r="G321" s="3" t="s">
        <v>18</v>
      </c>
      <c r="H321" s="3" t="s">
        <v>24</v>
      </c>
      <c r="I321" s="3" t="s">
        <v>16</v>
      </c>
      <c r="J321" s="3" t="s">
        <v>103</v>
      </c>
      <c r="K321" s="3" t="s">
        <v>83</v>
      </c>
      <c r="L321" s="4">
        <v>4</v>
      </c>
      <c r="M321" s="3">
        <v>450</v>
      </c>
      <c r="N321" s="3">
        <v>720</v>
      </c>
      <c r="O321" s="15">
        <f>Bike_Sales[[#This Row],[Order_Quantity]]*Bike_Sales[[#This Row],[Unit_Price]]</f>
        <v>2880</v>
      </c>
      <c r="P321" s="15">
        <f>Bike_Sales[[#This Row],[Order_Quantity]]*Bike_Sales[[#This Row],[Unit_Cost]]</f>
        <v>1800</v>
      </c>
      <c r="Q321" s="15">
        <f>Bike_Sales[[#This Row],[Total Sales]]-Bike_Sales[[#This Row],[Total Cost]]</f>
        <v>1080</v>
      </c>
      <c r="R321" s="17">
        <f>Bike_Sales[[#This Row],[Profit]]/Bike_Sales[[#This Row],[Total Sales]]</f>
        <v>0.375</v>
      </c>
      <c r="S321" s="16" t="str">
        <f t="shared" si="4"/>
        <v>25-34</v>
      </c>
    </row>
    <row r="322" spans="1:19" x14ac:dyDescent="0.35">
      <c r="A322" s="2">
        <v>44547</v>
      </c>
      <c r="B322" s="2" t="str">
        <f>TEXT(Bike_Sales[[#This Row],[Date]],"mmmm")</f>
        <v>December</v>
      </c>
      <c r="C322" s="19">
        <f>MONTH(Bike_Sales[[#This Row],[Date]])</f>
        <v>12</v>
      </c>
      <c r="D322" s="2" t="str">
        <f>TEXT(Bike_Sales[[#This Row],[Date]],"dddd")</f>
        <v>Friday</v>
      </c>
      <c r="E322" s="3">
        <v>31</v>
      </c>
      <c r="F322" s="3" t="s">
        <v>126</v>
      </c>
      <c r="G322" s="3" t="s">
        <v>18</v>
      </c>
      <c r="H322" s="3" t="s">
        <v>24</v>
      </c>
      <c r="I322" s="3" t="s">
        <v>16</v>
      </c>
      <c r="J322" s="3" t="s">
        <v>103</v>
      </c>
      <c r="K322" s="3" t="s">
        <v>83</v>
      </c>
      <c r="L322" s="4">
        <v>1</v>
      </c>
      <c r="M322" s="3">
        <v>450</v>
      </c>
      <c r="N322" s="3">
        <v>720</v>
      </c>
      <c r="O322" s="15">
        <f>Bike_Sales[[#This Row],[Order_Quantity]]*Bike_Sales[[#This Row],[Unit_Price]]</f>
        <v>720</v>
      </c>
      <c r="P322" s="15">
        <f>Bike_Sales[[#This Row],[Order_Quantity]]*Bike_Sales[[#This Row],[Unit_Cost]]</f>
        <v>450</v>
      </c>
      <c r="Q322" s="15">
        <f>Bike_Sales[[#This Row],[Total Sales]]-Bike_Sales[[#This Row],[Total Cost]]</f>
        <v>270</v>
      </c>
      <c r="R322" s="17">
        <f>Bike_Sales[[#This Row],[Profit]]/Bike_Sales[[#This Row],[Total Sales]]</f>
        <v>0.375</v>
      </c>
      <c r="S322" s="16" t="str">
        <f t="shared" ref="S322:S385" si="5">IF(E322&lt;25,"Under 25",IF(E322&lt;35,"25-34",IF(E322&lt;45,"35-44",IF(E322&lt;55,"45-54","55+"))))</f>
        <v>25-34</v>
      </c>
    </row>
    <row r="323" spans="1:19" x14ac:dyDescent="0.35">
      <c r="A323" s="2">
        <v>44553</v>
      </c>
      <c r="B323" s="2" t="str">
        <f>TEXT(Bike_Sales[[#This Row],[Date]],"mmmm")</f>
        <v>December</v>
      </c>
      <c r="C323" s="19">
        <f>MONTH(Bike_Sales[[#This Row],[Date]])</f>
        <v>12</v>
      </c>
      <c r="D323" s="2" t="str">
        <f>TEXT(Bike_Sales[[#This Row],[Date]],"dddd")</f>
        <v>Thursday</v>
      </c>
      <c r="E323" s="3">
        <v>31</v>
      </c>
      <c r="F323" s="3" t="s">
        <v>135</v>
      </c>
      <c r="G323" s="3" t="s">
        <v>13</v>
      </c>
      <c r="H323" s="3" t="s">
        <v>127</v>
      </c>
      <c r="I323" s="3" t="s">
        <v>16</v>
      </c>
      <c r="J323" s="3" t="s">
        <v>101</v>
      </c>
      <c r="K323" s="3" t="s">
        <v>25</v>
      </c>
      <c r="L323" s="4">
        <v>1</v>
      </c>
      <c r="M323" s="3">
        <v>550</v>
      </c>
      <c r="N323" s="3">
        <v>850</v>
      </c>
      <c r="O323" s="15">
        <f>Bike_Sales[[#This Row],[Order_Quantity]]*Bike_Sales[[#This Row],[Unit_Price]]</f>
        <v>850</v>
      </c>
      <c r="P323" s="15">
        <f>Bike_Sales[[#This Row],[Order_Quantity]]*Bike_Sales[[#This Row],[Unit_Cost]]</f>
        <v>550</v>
      </c>
      <c r="Q323" s="15">
        <f>Bike_Sales[[#This Row],[Total Sales]]-Bike_Sales[[#This Row],[Total Cost]]</f>
        <v>300</v>
      </c>
      <c r="R323" s="17">
        <f>Bike_Sales[[#This Row],[Profit]]/Bike_Sales[[#This Row],[Total Sales]]</f>
        <v>0.35294117647058826</v>
      </c>
      <c r="S323" s="16" t="str">
        <f t="shared" si="5"/>
        <v>25-34</v>
      </c>
    </row>
    <row r="324" spans="1:19" x14ac:dyDescent="0.35">
      <c r="A324" s="2">
        <v>44555</v>
      </c>
      <c r="B324" s="2" t="str">
        <f>TEXT(Bike_Sales[[#This Row],[Date]],"mmmm")</f>
        <v>December</v>
      </c>
      <c r="C324" s="19">
        <f>MONTH(Bike_Sales[[#This Row],[Date]])</f>
        <v>12</v>
      </c>
      <c r="D324" s="2" t="str">
        <f>TEXT(Bike_Sales[[#This Row],[Date]],"dddd")</f>
        <v>Saturday</v>
      </c>
      <c r="E324" s="3">
        <v>31</v>
      </c>
      <c r="F324" s="3" t="s">
        <v>126</v>
      </c>
      <c r="G324" s="3" t="s">
        <v>129</v>
      </c>
      <c r="H324" s="3" t="s">
        <v>15</v>
      </c>
      <c r="I324" s="3" t="s">
        <v>11</v>
      </c>
      <c r="J324" s="3" t="s">
        <v>104</v>
      </c>
      <c r="K324" s="3" t="s">
        <v>20</v>
      </c>
      <c r="L324" s="4">
        <v>4</v>
      </c>
      <c r="M324" s="3">
        <v>530</v>
      </c>
      <c r="N324" s="3">
        <v>840</v>
      </c>
      <c r="O324" s="15">
        <f>Bike_Sales[[#This Row],[Order_Quantity]]*Bike_Sales[[#This Row],[Unit_Price]]</f>
        <v>3360</v>
      </c>
      <c r="P324" s="15">
        <f>Bike_Sales[[#This Row],[Order_Quantity]]*Bike_Sales[[#This Row],[Unit_Cost]]</f>
        <v>2120</v>
      </c>
      <c r="Q324" s="15">
        <f>Bike_Sales[[#This Row],[Total Sales]]-Bike_Sales[[#This Row],[Total Cost]]</f>
        <v>1240</v>
      </c>
      <c r="R324" s="17">
        <f>Bike_Sales[[#This Row],[Profit]]/Bike_Sales[[#This Row],[Total Sales]]</f>
        <v>0.36904761904761907</v>
      </c>
      <c r="S324" s="16" t="str">
        <f t="shared" si="5"/>
        <v>25-34</v>
      </c>
    </row>
    <row r="325" spans="1:19" x14ac:dyDescent="0.35">
      <c r="A325" s="2">
        <v>44558</v>
      </c>
      <c r="B325" s="2" t="str">
        <f>TEXT(Bike_Sales[[#This Row],[Date]],"mmmm")</f>
        <v>December</v>
      </c>
      <c r="C325" s="19">
        <f>MONTH(Bike_Sales[[#This Row],[Date]])</f>
        <v>12</v>
      </c>
      <c r="D325" s="2" t="str">
        <f>TEXT(Bike_Sales[[#This Row],[Date]],"dddd")</f>
        <v>Tuesday</v>
      </c>
      <c r="E325" s="3">
        <v>31</v>
      </c>
      <c r="F325" s="3" t="s">
        <v>126</v>
      </c>
      <c r="G325" s="3" t="s">
        <v>18</v>
      </c>
      <c r="H325" s="3" t="s">
        <v>24</v>
      </c>
      <c r="I325" s="3" t="s">
        <v>16</v>
      </c>
      <c r="J325" s="3" t="s">
        <v>103</v>
      </c>
      <c r="K325" s="3" t="s">
        <v>83</v>
      </c>
      <c r="L325" s="4">
        <v>3</v>
      </c>
      <c r="M325" s="3">
        <v>450</v>
      </c>
      <c r="N325" s="3">
        <v>720</v>
      </c>
      <c r="O325" s="15">
        <f>Bike_Sales[[#This Row],[Order_Quantity]]*Bike_Sales[[#This Row],[Unit_Price]]</f>
        <v>2160</v>
      </c>
      <c r="P325" s="15">
        <f>Bike_Sales[[#This Row],[Order_Quantity]]*Bike_Sales[[#This Row],[Unit_Cost]]</f>
        <v>1350</v>
      </c>
      <c r="Q325" s="15">
        <f>Bike_Sales[[#This Row],[Total Sales]]-Bike_Sales[[#This Row],[Total Cost]]</f>
        <v>810</v>
      </c>
      <c r="R325" s="17">
        <f>Bike_Sales[[#This Row],[Profit]]/Bike_Sales[[#This Row],[Total Sales]]</f>
        <v>0.375</v>
      </c>
      <c r="S325" s="16" t="str">
        <f t="shared" si="5"/>
        <v>25-34</v>
      </c>
    </row>
    <row r="326" spans="1:19" x14ac:dyDescent="0.35">
      <c r="A326" s="2">
        <v>44475</v>
      </c>
      <c r="B326" s="2" t="str">
        <f>TEXT(Bike_Sales[[#This Row],[Date]],"mmmm")</f>
        <v>October</v>
      </c>
      <c r="C326" s="19">
        <f>MONTH(Bike_Sales[[#This Row],[Date]])</f>
        <v>10</v>
      </c>
      <c r="D326" s="2" t="str">
        <f>TEXT(Bike_Sales[[#This Row],[Date]],"dddd")</f>
        <v>Wednesday</v>
      </c>
      <c r="E326" s="3">
        <v>32</v>
      </c>
      <c r="F326" s="3" t="s">
        <v>135</v>
      </c>
      <c r="G326" s="3" t="s">
        <v>9</v>
      </c>
      <c r="H326" s="3" t="s">
        <v>37</v>
      </c>
      <c r="I326" s="3" t="s">
        <v>16</v>
      </c>
      <c r="J326" s="3" t="s">
        <v>101</v>
      </c>
      <c r="K326" s="3" t="s">
        <v>17</v>
      </c>
      <c r="L326" s="4">
        <v>3</v>
      </c>
      <c r="M326" s="3">
        <v>550</v>
      </c>
      <c r="N326" s="3">
        <v>850</v>
      </c>
      <c r="O326" s="15">
        <f>Bike_Sales[[#This Row],[Order_Quantity]]*Bike_Sales[[#This Row],[Unit_Price]]</f>
        <v>2550</v>
      </c>
      <c r="P326" s="15">
        <f>Bike_Sales[[#This Row],[Order_Quantity]]*Bike_Sales[[#This Row],[Unit_Cost]]</f>
        <v>1650</v>
      </c>
      <c r="Q326" s="15">
        <f>Bike_Sales[[#This Row],[Total Sales]]-Bike_Sales[[#This Row],[Total Cost]]</f>
        <v>900</v>
      </c>
      <c r="R326" s="17">
        <f>Bike_Sales[[#This Row],[Profit]]/Bike_Sales[[#This Row],[Total Sales]]</f>
        <v>0.35294117647058826</v>
      </c>
      <c r="S326" s="16" t="str">
        <f t="shared" si="5"/>
        <v>25-34</v>
      </c>
    </row>
    <row r="327" spans="1:19" x14ac:dyDescent="0.35">
      <c r="A327" s="2">
        <v>44476</v>
      </c>
      <c r="B327" s="2" t="str">
        <f>TEXT(Bike_Sales[[#This Row],[Date]],"mmmm")</f>
        <v>October</v>
      </c>
      <c r="C327" s="19">
        <f>MONTH(Bike_Sales[[#This Row],[Date]])</f>
        <v>10</v>
      </c>
      <c r="D327" s="2" t="str">
        <f>TEXT(Bike_Sales[[#This Row],[Date]],"dddd")</f>
        <v>Thursday</v>
      </c>
      <c r="E327" s="3">
        <v>32</v>
      </c>
      <c r="F327" s="3" t="s">
        <v>135</v>
      </c>
      <c r="G327" s="3" t="s">
        <v>18</v>
      </c>
      <c r="H327" s="3" t="s">
        <v>19</v>
      </c>
      <c r="I327" s="3" t="s">
        <v>16</v>
      </c>
      <c r="J327" s="3" t="s">
        <v>103</v>
      </c>
      <c r="K327" s="3" t="s">
        <v>45</v>
      </c>
      <c r="L327" s="4">
        <v>3</v>
      </c>
      <c r="M327" s="3">
        <v>550</v>
      </c>
      <c r="N327" s="3">
        <v>850</v>
      </c>
      <c r="O327" s="15">
        <f>Bike_Sales[[#This Row],[Order_Quantity]]*Bike_Sales[[#This Row],[Unit_Price]]</f>
        <v>2550</v>
      </c>
      <c r="P327" s="15">
        <f>Bike_Sales[[#This Row],[Order_Quantity]]*Bike_Sales[[#This Row],[Unit_Cost]]</f>
        <v>1650</v>
      </c>
      <c r="Q327" s="15">
        <f>Bike_Sales[[#This Row],[Total Sales]]-Bike_Sales[[#This Row],[Total Cost]]</f>
        <v>900</v>
      </c>
      <c r="R327" s="17">
        <f>Bike_Sales[[#This Row],[Profit]]/Bike_Sales[[#This Row],[Total Sales]]</f>
        <v>0.35294117647058826</v>
      </c>
      <c r="S327" s="16" t="str">
        <f t="shared" si="5"/>
        <v>25-34</v>
      </c>
    </row>
    <row r="328" spans="1:19" x14ac:dyDescent="0.35">
      <c r="A328" s="2">
        <v>44481</v>
      </c>
      <c r="B328" s="2" t="str">
        <f>TEXT(Bike_Sales[[#This Row],[Date]],"mmmm")</f>
        <v>October</v>
      </c>
      <c r="C328" s="19">
        <f>MONTH(Bike_Sales[[#This Row],[Date]])</f>
        <v>10</v>
      </c>
      <c r="D328" s="2" t="str">
        <f>TEXT(Bike_Sales[[#This Row],[Date]],"dddd")</f>
        <v>Tuesday</v>
      </c>
      <c r="E328" s="3">
        <v>32</v>
      </c>
      <c r="F328" s="3" t="s">
        <v>135</v>
      </c>
      <c r="G328" s="3" t="s">
        <v>39</v>
      </c>
      <c r="H328" s="3" t="s">
        <v>42</v>
      </c>
      <c r="I328" s="3" t="s">
        <v>11</v>
      </c>
      <c r="J328" s="3" t="s">
        <v>102</v>
      </c>
      <c r="K328" s="3" t="s">
        <v>66</v>
      </c>
      <c r="L328" s="4">
        <v>1</v>
      </c>
      <c r="M328" s="3">
        <v>900</v>
      </c>
      <c r="N328" s="3">
        <v>1400</v>
      </c>
      <c r="O328" s="15">
        <f>Bike_Sales[[#This Row],[Order_Quantity]]*Bike_Sales[[#This Row],[Unit_Price]]</f>
        <v>1400</v>
      </c>
      <c r="P328" s="15">
        <f>Bike_Sales[[#This Row],[Order_Quantity]]*Bike_Sales[[#This Row],[Unit_Cost]]</f>
        <v>900</v>
      </c>
      <c r="Q328" s="15">
        <f>Bike_Sales[[#This Row],[Total Sales]]-Bike_Sales[[#This Row],[Total Cost]]</f>
        <v>500</v>
      </c>
      <c r="R328" s="17">
        <f>Bike_Sales[[#This Row],[Profit]]/Bike_Sales[[#This Row],[Total Sales]]</f>
        <v>0.35714285714285715</v>
      </c>
      <c r="S328" s="16" t="str">
        <f t="shared" si="5"/>
        <v>25-34</v>
      </c>
    </row>
    <row r="329" spans="1:19" x14ac:dyDescent="0.35">
      <c r="A329" s="2">
        <v>44482</v>
      </c>
      <c r="B329" s="2" t="str">
        <f>TEXT(Bike_Sales[[#This Row],[Date]],"mmmm")</f>
        <v>October</v>
      </c>
      <c r="C329" s="19">
        <f>MONTH(Bike_Sales[[#This Row],[Date]])</f>
        <v>10</v>
      </c>
      <c r="D329" s="2" t="str">
        <f>TEXT(Bike_Sales[[#This Row],[Date]],"dddd")</f>
        <v>Wednesday</v>
      </c>
      <c r="E329" s="3">
        <v>32</v>
      </c>
      <c r="F329" s="3" t="s">
        <v>126</v>
      </c>
      <c r="G329" s="3" t="s">
        <v>9</v>
      </c>
      <c r="H329" s="3" t="s">
        <v>69</v>
      </c>
      <c r="I329" s="3" t="s">
        <v>11</v>
      </c>
      <c r="J329" s="3" t="s">
        <v>101</v>
      </c>
      <c r="K329" s="3" t="s">
        <v>44</v>
      </c>
      <c r="L329" s="4">
        <v>2</v>
      </c>
      <c r="M329" s="3">
        <v>700</v>
      </c>
      <c r="N329" s="3">
        <v>1100</v>
      </c>
      <c r="O329" s="15">
        <f>Bike_Sales[[#This Row],[Order_Quantity]]*Bike_Sales[[#This Row],[Unit_Price]]</f>
        <v>2200</v>
      </c>
      <c r="P329" s="15">
        <f>Bike_Sales[[#This Row],[Order_Quantity]]*Bike_Sales[[#This Row],[Unit_Cost]]</f>
        <v>1400</v>
      </c>
      <c r="Q329" s="15">
        <f>Bike_Sales[[#This Row],[Total Sales]]-Bike_Sales[[#This Row],[Total Cost]]</f>
        <v>800</v>
      </c>
      <c r="R329" s="17">
        <f>Bike_Sales[[#This Row],[Profit]]/Bike_Sales[[#This Row],[Total Sales]]</f>
        <v>0.36363636363636365</v>
      </c>
      <c r="S329" s="16" t="str">
        <f t="shared" si="5"/>
        <v>25-34</v>
      </c>
    </row>
    <row r="330" spans="1:19" x14ac:dyDescent="0.35">
      <c r="A330" s="2">
        <v>44490</v>
      </c>
      <c r="B330" s="2" t="str">
        <f>TEXT(Bike_Sales[[#This Row],[Date]],"mmmm")</f>
        <v>October</v>
      </c>
      <c r="C330" s="19">
        <f>MONTH(Bike_Sales[[#This Row],[Date]])</f>
        <v>10</v>
      </c>
      <c r="D330" s="2" t="str">
        <f>TEXT(Bike_Sales[[#This Row],[Date]],"dddd")</f>
        <v>Thursday</v>
      </c>
      <c r="E330" s="3">
        <v>32</v>
      </c>
      <c r="F330" s="3" t="s">
        <v>135</v>
      </c>
      <c r="G330" s="3" t="s">
        <v>18</v>
      </c>
      <c r="H330" s="3" t="s">
        <v>24</v>
      </c>
      <c r="I330" s="3" t="s">
        <v>16</v>
      </c>
      <c r="J330" s="3" t="s">
        <v>103</v>
      </c>
      <c r="K330" s="3" t="s">
        <v>81</v>
      </c>
      <c r="L330" s="4">
        <v>1</v>
      </c>
      <c r="M330" s="3">
        <v>450</v>
      </c>
      <c r="N330" s="3">
        <v>720</v>
      </c>
      <c r="O330" s="15">
        <f>Bike_Sales[[#This Row],[Order_Quantity]]*Bike_Sales[[#This Row],[Unit_Price]]</f>
        <v>720</v>
      </c>
      <c r="P330" s="15">
        <f>Bike_Sales[[#This Row],[Order_Quantity]]*Bike_Sales[[#This Row],[Unit_Cost]]</f>
        <v>450</v>
      </c>
      <c r="Q330" s="15">
        <f>Bike_Sales[[#This Row],[Total Sales]]-Bike_Sales[[#This Row],[Total Cost]]</f>
        <v>270</v>
      </c>
      <c r="R330" s="17">
        <f>Bike_Sales[[#This Row],[Profit]]/Bike_Sales[[#This Row],[Total Sales]]</f>
        <v>0.375</v>
      </c>
      <c r="S330" s="16" t="str">
        <f t="shared" si="5"/>
        <v>25-34</v>
      </c>
    </row>
    <row r="331" spans="1:19" x14ac:dyDescent="0.35">
      <c r="A331" s="2">
        <v>44490</v>
      </c>
      <c r="B331" s="2" t="str">
        <f>TEXT(Bike_Sales[[#This Row],[Date]],"mmmm")</f>
        <v>October</v>
      </c>
      <c r="C331" s="19">
        <f>MONTH(Bike_Sales[[#This Row],[Date]])</f>
        <v>10</v>
      </c>
      <c r="D331" s="2" t="str">
        <f>TEXT(Bike_Sales[[#This Row],[Date]],"dddd")</f>
        <v>Thursday</v>
      </c>
      <c r="E331" s="3">
        <v>32</v>
      </c>
      <c r="F331" s="3" t="s">
        <v>135</v>
      </c>
      <c r="G331" s="3" t="s">
        <v>18</v>
      </c>
      <c r="H331" s="3" t="s">
        <v>35</v>
      </c>
      <c r="I331" s="3" t="s">
        <v>16</v>
      </c>
      <c r="J331" s="3" t="s">
        <v>103</v>
      </c>
      <c r="K331" s="3" t="s">
        <v>78</v>
      </c>
      <c r="L331" s="4">
        <v>1</v>
      </c>
      <c r="M331" s="3">
        <v>450</v>
      </c>
      <c r="N331" s="3">
        <v>720</v>
      </c>
      <c r="O331" s="15">
        <f>Bike_Sales[[#This Row],[Order_Quantity]]*Bike_Sales[[#This Row],[Unit_Price]]</f>
        <v>720</v>
      </c>
      <c r="P331" s="15">
        <f>Bike_Sales[[#This Row],[Order_Quantity]]*Bike_Sales[[#This Row],[Unit_Cost]]</f>
        <v>450</v>
      </c>
      <c r="Q331" s="15">
        <f>Bike_Sales[[#This Row],[Total Sales]]-Bike_Sales[[#This Row],[Total Cost]]</f>
        <v>270</v>
      </c>
      <c r="R331" s="17">
        <f>Bike_Sales[[#This Row],[Profit]]/Bike_Sales[[#This Row],[Total Sales]]</f>
        <v>0.375</v>
      </c>
      <c r="S331" s="16" t="str">
        <f t="shared" si="5"/>
        <v>25-34</v>
      </c>
    </row>
    <row r="332" spans="1:19" x14ac:dyDescent="0.35">
      <c r="A332" s="2">
        <v>44491</v>
      </c>
      <c r="B332" s="2" t="str">
        <f>TEXT(Bike_Sales[[#This Row],[Date]],"mmmm")</f>
        <v>October</v>
      </c>
      <c r="C332" s="19">
        <f>MONTH(Bike_Sales[[#This Row],[Date]])</f>
        <v>10</v>
      </c>
      <c r="D332" s="2" t="str">
        <f>TEXT(Bike_Sales[[#This Row],[Date]],"dddd")</f>
        <v>Friday</v>
      </c>
      <c r="E332" s="3">
        <v>32</v>
      </c>
      <c r="F332" s="3" t="s">
        <v>126</v>
      </c>
      <c r="G332" s="3" t="s">
        <v>33</v>
      </c>
      <c r="H332" s="3" t="s">
        <v>128</v>
      </c>
      <c r="I332" s="3" t="s">
        <v>11</v>
      </c>
      <c r="J332" s="3" t="s">
        <v>101</v>
      </c>
      <c r="K332" s="3" t="s">
        <v>41</v>
      </c>
      <c r="L332" s="4">
        <v>3</v>
      </c>
      <c r="M332" s="3">
        <v>580</v>
      </c>
      <c r="N332" s="3">
        <v>920</v>
      </c>
      <c r="O332" s="15">
        <f>Bike_Sales[[#This Row],[Order_Quantity]]*Bike_Sales[[#This Row],[Unit_Price]]</f>
        <v>2760</v>
      </c>
      <c r="P332" s="15">
        <f>Bike_Sales[[#This Row],[Order_Quantity]]*Bike_Sales[[#This Row],[Unit_Cost]]</f>
        <v>1740</v>
      </c>
      <c r="Q332" s="15">
        <f>Bike_Sales[[#This Row],[Total Sales]]-Bike_Sales[[#This Row],[Total Cost]]</f>
        <v>1020</v>
      </c>
      <c r="R332" s="17">
        <f>Bike_Sales[[#This Row],[Profit]]/Bike_Sales[[#This Row],[Total Sales]]</f>
        <v>0.36956521739130432</v>
      </c>
      <c r="S332" s="16" t="str">
        <f t="shared" si="5"/>
        <v>25-34</v>
      </c>
    </row>
    <row r="333" spans="1:19" x14ac:dyDescent="0.35">
      <c r="A333" s="2">
        <v>44491</v>
      </c>
      <c r="B333" s="2" t="str">
        <f>TEXT(Bike_Sales[[#This Row],[Date]],"mmmm")</f>
        <v>October</v>
      </c>
      <c r="C333" s="19">
        <f>MONTH(Bike_Sales[[#This Row],[Date]])</f>
        <v>10</v>
      </c>
      <c r="D333" s="2" t="str">
        <f>TEXT(Bike_Sales[[#This Row],[Date]],"dddd")</f>
        <v>Friday</v>
      </c>
      <c r="E333" s="3">
        <v>32</v>
      </c>
      <c r="F333" s="3" t="s">
        <v>135</v>
      </c>
      <c r="G333" s="3" t="s">
        <v>9</v>
      </c>
      <c r="H333" s="3" t="s">
        <v>10</v>
      </c>
      <c r="I333" s="3" t="s">
        <v>16</v>
      </c>
      <c r="J333" s="3" t="s">
        <v>103</v>
      </c>
      <c r="K333" s="3" t="s">
        <v>50</v>
      </c>
      <c r="L333" s="4">
        <v>1</v>
      </c>
      <c r="M333" s="3">
        <v>550</v>
      </c>
      <c r="N333" s="3">
        <v>850</v>
      </c>
      <c r="O333" s="15">
        <f>Bike_Sales[[#This Row],[Order_Quantity]]*Bike_Sales[[#This Row],[Unit_Price]]</f>
        <v>850</v>
      </c>
      <c r="P333" s="15">
        <f>Bike_Sales[[#This Row],[Order_Quantity]]*Bike_Sales[[#This Row],[Unit_Cost]]</f>
        <v>550</v>
      </c>
      <c r="Q333" s="15">
        <f>Bike_Sales[[#This Row],[Total Sales]]-Bike_Sales[[#This Row],[Total Cost]]</f>
        <v>300</v>
      </c>
      <c r="R333" s="17">
        <f>Bike_Sales[[#This Row],[Profit]]/Bike_Sales[[#This Row],[Total Sales]]</f>
        <v>0.35294117647058826</v>
      </c>
      <c r="S333" s="16" t="str">
        <f t="shared" si="5"/>
        <v>25-34</v>
      </c>
    </row>
    <row r="334" spans="1:19" x14ac:dyDescent="0.35">
      <c r="A334" s="2">
        <v>44494</v>
      </c>
      <c r="B334" s="2" t="str">
        <f>TEXT(Bike_Sales[[#This Row],[Date]],"mmmm")</f>
        <v>October</v>
      </c>
      <c r="C334" s="19">
        <f>MONTH(Bike_Sales[[#This Row],[Date]])</f>
        <v>10</v>
      </c>
      <c r="D334" s="2" t="str">
        <f>TEXT(Bike_Sales[[#This Row],[Date]],"dddd")</f>
        <v>Monday</v>
      </c>
      <c r="E334" s="3">
        <v>32</v>
      </c>
      <c r="F334" s="3" t="s">
        <v>135</v>
      </c>
      <c r="G334" s="3" t="s">
        <v>9</v>
      </c>
      <c r="H334" s="3" t="s">
        <v>10</v>
      </c>
      <c r="I334" s="3" t="s">
        <v>16</v>
      </c>
      <c r="J334" s="3" t="s">
        <v>103</v>
      </c>
      <c r="K334" s="3" t="s">
        <v>50</v>
      </c>
      <c r="L334" s="4">
        <v>4</v>
      </c>
      <c r="M334" s="3">
        <v>550</v>
      </c>
      <c r="N334" s="3">
        <v>850</v>
      </c>
      <c r="O334" s="15">
        <f>Bike_Sales[[#This Row],[Order_Quantity]]*Bike_Sales[[#This Row],[Unit_Price]]</f>
        <v>3400</v>
      </c>
      <c r="P334" s="15">
        <f>Bike_Sales[[#This Row],[Order_Quantity]]*Bike_Sales[[#This Row],[Unit_Cost]]</f>
        <v>2200</v>
      </c>
      <c r="Q334" s="15">
        <f>Bike_Sales[[#This Row],[Total Sales]]-Bike_Sales[[#This Row],[Total Cost]]</f>
        <v>1200</v>
      </c>
      <c r="R334" s="17">
        <f>Bike_Sales[[#This Row],[Profit]]/Bike_Sales[[#This Row],[Total Sales]]</f>
        <v>0.35294117647058826</v>
      </c>
      <c r="S334" s="16" t="str">
        <f t="shared" si="5"/>
        <v>25-34</v>
      </c>
    </row>
    <row r="335" spans="1:19" x14ac:dyDescent="0.35">
      <c r="A335" s="2">
        <v>44495</v>
      </c>
      <c r="B335" s="2" t="str">
        <f>TEXT(Bike_Sales[[#This Row],[Date]],"mmmm")</f>
        <v>October</v>
      </c>
      <c r="C335" s="19">
        <f>MONTH(Bike_Sales[[#This Row],[Date]])</f>
        <v>10</v>
      </c>
      <c r="D335" s="2" t="str">
        <f>TEXT(Bike_Sales[[#This Row],[Date]],"dddd")</f>
        <v>Tuesday</v>
      </c>
      <c r="E335" s="3">
        <v>32</v>
      </c>
      <c r="F335" s="3" t="s">
        <v>126</v>
      </c>
      <c r="G335" s="3" t="s">
        <v>39</v>
      </c>
      <c r="H335" s="3" t="s">
        <v>80</v>
      </c>
      <c r="I335" s="3" t="s">
        <v>11</v>
      </c>
      <c r="J335" s="3" t="s">
        <v>102</v>
      </c>
      <c r="K335" s="3" t="s">
        <v>43</v>
      </c>
      <c r="L335" s="4">
        <v>1</v>
      </c>
      <c r="M335" s="3">
        <v>900</v>
      </c>
      <c r="N335" s="3">
        <v>1400</v>
      </c>
      <c r="O335" s="15">
        <f>Bike_Sales[[#This Row],[Order_Quantity]]*Bike_Sales[[#This Row],[Unit_Price]]</f>
        <v>1400</v>
      </c>
      <c r="P335" s="15">
        <f>Bike_Sales[[#This Row],[Order_Quantity]]*Bike_Sales[[#This Row],[Unit_Cost]]</f>
        <v>900</v>
      </c>
      <c r="Q335" s="15">
        <f>Bike_Sales[[#This Row],[Total Sales]]-Bike_Sales[[#This Row],[Total Cost]]</f>
        <v>500</v>
      </c>
      <c r="R335" s="17">
        <f>Bike_Sales[[#This Row],[Profit]]/Bike_Sales[[#This Row],[Total Sales]]</f>
        <v>0.35714285714285715</v>
      </c>
      <c r="S335" s="16" t="str">
        <f t="shared" si="5"/>
        <v>25-34</v>
      </c>
    </row>
    <row r="336" spans="1:19" x14ac:dyDescent="0.35">
      <c r="A336" s="2">
        <v>44498</v>
      </c>
      <c r="B336" s="2" t="str">
        <f>TEXT(Bike_Sales[[#This Row],[Date]],"mmmm")</f>
        <v>October</v>
      </c>
      <c r="C336" s="19">
        <f>MONTH(Bike_Sales[[#This Row],[Date]])</f>
        <v>10</v>
      </c>
      <c r="D336" s="2" t="str">
        <f>TEXT(Bike_Sales[[#This Row],[Date]],"dddd")</f>
        <v>Friday</v>
      </c>
      <c r="E336" s="3">
        <v>32</v>
      </c>
      <c r="F336" s="3" t="s">
        <v>135</v>
      </c>
      <c r="G336" s="3" t="s">
        <v>18</v>
      </c>
      <c r="H336" s="3" t="s">
        <v>19</v>
      </c>
      <c r="I336" s="3" t="s">
        <v>16</v>
      </c>
      <c r="J336" s="3" t="s">
        <v>103</v>
      </c>
      <c r="K336" s="3" t="s">
        <v>45</v>
      </c>
      <c r="L336" s="4">
        <v>2</v>
      </c>
      <c r="M336" s="3">
        <v>550</v>
      </c>
      <c r="N336" s="3">
        <v>850</v>
      </c>
      <c r="O336" s="15">
        <f>Bike_Sales[[#This Row],[Order_Quantity]]*Bike_Sales[[#This Row],[Unit_Price]]</f>
        <v>1700</v>
      </c>
      <c r="P336" s="15">
        <f>Bike_Sales[[#This Row],[Order_Quantity]]*Bike_Sales[[#This Row],[Unit_Cost]]</f>
        <v>1100</v>
      </c>
      <c r="Q336" s="15">
        <f>Bike_Sales[[#This Row],[Total Sales]]-Bike_Sales[[#This Row],[Total Cost]]</f>
        <v>600</v>
      </c>
      <c r="R336" s="17">
        <f>Bike_Sales[[#This Row],[Profit]]/Bike_Sales[[#This Row],[Total Sales]]</f>
        <v>0.35294117647058826</v>
      </c>
      <c r="S336" s="16" t="str">
        <f t="shared" si="5"/>
        <v>25-34</v>
      </c>
    </row>
    <row r="337" spans="1:19" x14ac:dyDescent="0.35">
      <c r="A337" s="2">
        <v>44498</v>
      </c>
      <c r="B337" s="2" t="str">
        <f>TEXT(Bike_Sales[[#This Row],[Date]],"mmmm")</f>
        <v>October</v>
      </c>
      <c r="C337" s="19">
        <f>MONTH(Bike_Sales[[#This Row],[Date]])</f>
        <v>10</v>
      </c>
      <c r="D337" s="2" t="str">
        <f>TEXT(Bike_Sales[[#This Row],[Date]],"dddd")</f>
        <v>Friday</v>
      </c>
      <c r="E337" s="3">
        <v>32</v>
      </c>
      <c r="F337" s="3" t="s">
        <v>126</v>
      </c>
      <c r="G337" s="3" t="s">
        <v>18</v>
      </c>
      <c r="H337" s="3" t="s">
        <v>19</v>
      </c>
      <c r="I337" s="3" t="s">
        <v>11</v>
      </c>
      <c r="J337" s="3" t="s">
        <v>104</v>
      </c>
      <c r="K337" s="3" t="s">
        <v>27</v>
      </c>
      <c r="L337" s="4">
        <v>1</v>
      </c>
      <c r="M337" s="3">
        <v>530</v>
      </c>
      <c r="N337" s="3">
        <v>840</v>
      </c>
      <c r="O337" s="15">
        <f>Bike_Sales[[#This Row],[Order_Quantity]]*Bike_Sales[[#This Row],[Unit_Price]]</f>
        <v>840</v>
      </c>
      <c r="P337" s="15">
        <f>Bike_Sales[[#This Row],[Order_Quantity]]*Bike_Sales[[#This Row],[Unit_Cost]]</f>
        <v>530</v>
      </c>
      <c r="Q337" s="15">
        <f>Bike_Sales[[#This Row],[Total Sales]]-Bike_Sales[[#This Row],[Total Cost]]</f>
        <v>310</v>
      </c>
      <c r="R337" s="17">
        <f>Bike_Sales[[#This Row],[Profit]]/Bike_Sales[[#This Row],[Total Sales]]</f>
        <v>0.36904761904761907</v>
      </c>
      <c r="S337" s="16" t="str">
        <f t="shared" si="5"/>
        <v>25-34</v>
      </c>
    </row>
    <row r="338" spans="1:19" x14ac:dyDescent="0.35">
      <c r="A338" s="2">
        <v>44500</v>
      </c>
      <c r="B338" s="2" t="str">
        <f>TEXT(Bike_Sales[[#This Row],[Date]],"mmmm")</f>
        <v>October</v>
      </c>
      <c r="C338" s="19">
        <f>MONTH(Bike_Sales[[#This Row],[Date]])</f>
        <v>10</v>
      </c>
      <c r="D338" s="2" t="str">
        <f>TEXT(Bike_Sales[[#This Row],[Date]],"dddd")</f>
        <v>Sunday</v>
      </c>
      <c r="E338" s="3">
        <v>32</v>
      </c>
      <c r="F338" s="3" t="s">
        <v>135</v>
      </c>
      <c r="G338" s="3" t="s">
        <v>33</v>
      </c>
      <c r="H338" s="3" t="s">
        <v>128</v>
      </c>
      <c r="I338" s="3" t="s">
        <v>11</v>
      </c>
      <c r="J338" s="3" t="s">
        <v>101</v>
      </c>
      <c r="K338" s="3" t="s">
        <v>31</v>
      </c>
      <c r="L338" s="4">
        <v>1</v>
      </c>
      <c r="M338" s="3">
        <v>580</v>
      </c>
      <c r="N338" s="3">
        <v>920</v>
      </c>
      <c r="O338" s="15">
        <f>Bike_Sales[[#This Row],[Order_Quantity]]*Bike_Sales[[#This Row],[Unit_Price]]</f>
        <v>920</v>
      </c>
      <c r="P338" s="15">
        <f>Bike_Sales[[#This Row],[Order_Quantity]]*Bike_Sales[[#This Row],[Unit_Cost]]</f>
        <v>580</v>
      </c>
      <c r="Q338" s="15">
        <f>Bike_Sales[[#This Row],[Total Sales]]-Bike_Sales[[#This Row],[Total Cost]]</f>
        <v>340</v>
      </c>
      <c r="R338" s="17">
        <f>Bike_Sales[[#This Row],[Profit]]/Bike_Sales[[#This Row],[Total Sales]]</f>
        <v>0.36956521739130432</v>
      </c>
      <c r="S338" s="16" t="str">
        <f t="shared" si="5"/>
        <v>25-34</v>
      </c>
    </row>
    <row r="339" spans="1:19" x14ac:dyDescent="0.35">
      <c r="A339" s="2">
        <v>44521</v>
      </c>
      <c r="B339" s="2" t="str">
        <f>TEXT(Bike_Sales[[#This Row],[Date]],"mmmm")</f>
        <v>November</v>
      </c>
      <c r="C339" s="19">
        <f>MONTH(Bike_Sales[[#This Row],[Date]])</f>
        <v>11</v>
      </c>
      <c r="D339" s="2" t="str">
        <f>TEXT(Bike_Sales[[#This Row],[Date]],"dddd")</f>
        <v>Sunday</v>
      </c>
      <c r="E339" s="3">
        <v>32</v>
      </c>
      <c r="F339" s="3" t="s">
        <v>135</v>
      </c>
      <c r="G339" s="3" t="s">
        <v>33</v>
      </c>
      <c r="H339" s="3" t="s">
        <v>56</v>
      </c>
      <c r="I339" s="3" t="s">
        <v>11</v>
      </c>
      <c r="J339" s="3" t="s">
        <v>102</v>
      </c>
      <c r="K339" s="3" t="s">
        <v>26</v>
      </c>
      <c r="L339" s="4">
        <v>4</v>
      </c>
      <c r="M339" s="3">
        <v>900</v>
      </c>
      <c r="N339" s="3">
        <v>1400</v>
      </c>
      <c r="O339" s="15">
        <f>Bike_Sales[[#This Row],[Order_Quantity]]*Bike_Sales[[#This Row],[Unit_Price]]</f>
        <v>5600</v>
      </c>
      <c r="P339" s="15">
        <f>Bike_Sales[[#This Row],[Order_Quantity]]*Bike_Sales[[#This Row],[Unit_Cost]]</f>
        <v>3600</v>
      </c>
      <c r="Q339" s="15">
        <f>Bike_Sales[[#This Row],[Total Sales]]-Bike_Sales[[#This Row],[Total Cost]]</f>
        <v>2000</v>
      </c>
      <c r="R339" s="17">
        <f>Bike_Sales[[#This Row],[Profit]]/Bike_Sales[[#This Row],[Total Sales]]</f>
        <v>0.35714285714285715</v>
      </c>
      <c r="S339" s="16" t="str">
        <f t="shared" si="5"/>
        <v>25-34</v>
      </c>
    </row>
    <row r="340" spans="1:19" x14ac:dyDescent="0.35">
      <c r="A340" s="2">
        <v>44522</v>
      </c>
      <c r="B340" s="2" t="str">
        <f>TEXT(Bike_Sales[[#This Row],[Date]],"mmmm")</f>
        <v>November</v>
      </c>
      <c r="C340" s="19">
        <f>MONTH(Bike_Sales[[#This Row],[Date]])</f>
        <v>11</v>
      </c>
      <c r="D340" s="2" t="str">
        <f>TEXT(Bike_Sales[[#This Row],[Date]],"dddd")</f>
        <v>Monday</v>
      </c>
      <c r="E340" s="3">
        <v>32</v>
      </c>
      <c r="F340" s="3" t="s">
        <v>135</v>
      </c>
      <c r="G340" s="3" t="s">
        <v>9</v>
      </c>
      <c r="H340" s="3" t="s">
        <v>10</v>
      </c>
      <c r="I340" s="3" t="s">
        <v>11</v>
      </c>
      <c r="J340" s="3" t="s">
        <v>102</v>
      </c>
      <c r="K340" s="3" t="s">
        <v>23</v>
      </c>
      <c r="L340" s="4">
        <v>1</v>
      </c>
      <c r="M340" s="3">
        <v>620</v>
      </c>
      <c r="N340" s="3">
        <v>980</v>
      </c>
      <c r="O340" s="15">
        <f>Bike_Sales[[#This Row],[Order_Quantity]]*Bike_Sales[[#This Row],[Unit_Price]]</f>
        <v>980</v>
      </c>
      <c r="P340" s="15">
        <f>Bike_Sales[[#This Row],[Order_Quantity]]*Bike_Sales[[#This Row],[Unit_Cost]]</f>
        <v>620</v>
      </c>
      <c r="Q340" s="15">
        <f>Bike_Sales[[#This Row],[Total Sales]]-Bike_Sales[[#This Row],[Total Cost]]</f>
        <v>360</v>
      </c>
      <c r="R340" s="17">
        <f>Bike_Sales[[#This Row],[Profit]]/Bike_Sales[[#This Row],[Total Sales]]</f>
        <v>0.36734693877551022</v>
      </c>
      <c r="S340" s="16" t="str">
        <f t="shared" si="5"/>
        <v>25-34</v>
      </c>
    </row>
    <row r="341" spans="1:19" x14ac:dyDescent="0.35">
      <c r="A341" s="2">
        <v>44543</v>
      </c>
      <c r="B341" s="2" t="str">
        <f>TEXT(Bike_Sales[[#This Row],[Date]],"mmmm")</f>
        <v>December</v>
      </c>
      <c r="C341" s="19">
        <f>MONTH(Bike_Sales[[#This Row],[Date]])</f>
        <v>12</v>
      </c>
      <c r="D341" s="2" t="str">
        <f>TEXT(Bike_Sales[[#This Row],[Date]],"dddd")</f>
        <v>Monday</v>
      </c>
      <c r="E341" s="3">
        <v>32</v>
      </c>
      <c r="F341" s="3" t="s">
        <v>135</v>
      </c>
      <c r="G341" s="3" t="s">
        <v>18</v>
      </c>
      <c r="H341" s="3" t="s">
        <v>19</v>
      </c>
      <c r="I341" s="3" t="s">
        <v>16</v>
      </c>
      <c r="J341" s="3" t="s">
        <v>103</v>
      </c>
      <c r="K341" s="3" t="s">
        <v>45</v>
      </c>
      <c r="L341" s="4">
        <v>3</v>
      </c>
      <c r="M341" s="3">
        <v>550</v>
      </c>
      <c r="N341" s="3">
        <v>850</v>
      </c>
      <c r="O341" s="15">
        <f>Bike_Sales[[#This Row],[Order_Quantity]]*Bike_Sales[[#This Row],[Unit_Price]]</f>
        <v>2550</v>
      </c>
      <c r="P341" s="15">
        <f>Bike_Sales[[#This Row],[Order_Quantity]]*Bike_Sales[[#This Row],[Unit_Cost]]</f>
        <v>1650</v>
      </c>
      <c r="Q341" s="15">
        <f>Bike_Sales[[#This Row],[Total Sales]]-Bike_Sales[[#This Row],[Total Cost]]</f>
        <v>900</v>
      </c>
      <c r="R341" s="17">
        <f>Bike_Sales[[#This Row],[Profit]]/Bike_Sales[[#This Row],[Total Sales]]</f>
        <v>0.35294117647058826</v>
      </c>
      <c r="S341" s="16" t="str">
        <f t="shared" si="5"/>
        <v>25-34</v>
      </c>
    </row>
    <row r="342" spans="1:19" x14ac:dyDescent="0.35">
      <c r="A342" s="2">
        <v>44544</v>
      </c>
      <c r="B342" s="2" t="str">
        <f>TEXT(Bike_Sales[[#This Row],[Date]],"mmmm")</f>
        <v>December</v>
      </c>
      <c r="C342" s="19">
        <f>MONTH(Bike_Sales[[#This Row],[Date]])</f>
        <v>12</v>
      </c>
      <c r="D342" s="2" t="str">
        <f>TEXT(Bike_Sales[[#This Row],[Date]],"dddd")</f>
        <v>Tuesday</v>
      </c>
      <c r="E342" s="3">
        <v>32</v>
      </c>
      <c r="F342" s="3" t="s">
        <v>126</v>
      </c>
      <c r="G342" s="3" t="s">
        <v>39</v>
      </c>
      <c r="H342" s="3" t="s">
        <v>80</v>
      </c>
      <c r="I342" s="3" t="s">
        <v>11</v>
      </c>
      <c r="J342" s="3" t="s">
        <v>102</v>
      </c>
      <c r="K342" s="3" t="s">
        <v>43</v>
      </c>
      <c r="L342" s="4">
        <v>3</v>
      </c>
      <c r="M342" s="3">
        <v>900</v>
      </c>
      <c r="N342" s="3">
        <v>1400</v>
      </c>
      <c r="O342" s="15">
        <f>Bike_Sales[[#This Row],[Order_Quantity]]*Bike_Sales[[#This Row],[Unit_Price]]</f>
        <v>4200</v>
      </c>
      <c r="P342" s="15">
        <f>Bike_Sales[[#This Row],[Order_Quantity]]*Bike_Sales[[#This Row],[Unit_Cost]]</f>
        <v>2700</v>
      </c>
      <c r="Q342" s="15">
        <f>Bike_Sales[[#This Row],[Total Sales]]-Bike_Sales[[#This Row],[Total Cost]]</f>
        <v>1500</v>
      </c>
      <c r="R342" s="17">
        <f>Bike_Sales[[#This Row],[Profit]]/Bike_Sales[[#This Row],[Total Sales]]</f>
        <v>0.35714285714285715</v>
      </c>
      <c r="S342" s="16" t="str">
        <f t="shared" si="5"/>
        <v>25-34</v>
      </c>
    </row>
    <row r="343" spans="1:19" x14ac:dyDescent="0.35">
      <c r="A343" s="2">
        <v>44544</v>
      </c>
      <c r="B343" s="2" t="str">
        <f>TEXT(Bike_Sales[[#This Row],[Date]],"mmmm")</f>
        <v>December</v>
      </c>
      <c r="C343" s="19">
        <f>MONTH(Bike_Sales[[#This Row],[Date]])</f>
        <v>12</v>
      </c>
      <c r="D343" s="2" t="str">
        <f>TEXT(Bike_Sales[[#This Row],[Date]],"dddd")</f>
        <v>Tuesday</v>
      </c>
      <c r="E343" s="3">
        <v>32</v>
      </c>
      <c r="F343" s="3" t="s">
        <v>126</v>
      </c>
      <c r="G343" s="3" t="s">
        <v>39</v>
      </c>
      <c r="H343" s="3" t="s">
        <v>40</v>
      </c>
      <c r="I343" s="3" t="s">
        <v>11</v>
      </c>
      <c r="J343" s="3" t="s">
        <v>104</v>
      </c>
      <c r="K343" s="3" t="s">
        <v>68</v>
      </c>
      <c r="L343" s="4">
        <v>3</v>
      </c>
      <c r="M343" s="3">
        <v>500</v>
      </c>
      <c r="N343" s="3">
        <v>800</v>
      </c>
      <c r="O343" s="15">
        <f>Bike_Sales[[#This Row],[Order_Quantity]]*Bike_Sales[[#This Row],[Unit_Price]]</f>
        <v>2400</v>
      </c>
      <c r="P343" s="15">
        <f>Bike_Sales[[#This Row],[Order_Quantity]]*Bike_Sales[[#This Row],[Unit_Cost]]</f>
        <v>1500</v>
      </c>
      <c r="Q343" s="15">
        <f>Bike_Sales[[#This Row],[Total Sales]]-Bike_Sales[[#This Row],[Total Cost]]</f>
        <v>900</v>
      </c>
      <c r="R343" s="17">
        <f>Bike_Sales[[#This Row],[Profit]]/Bike_Sales[[#This Row],[Total Sales]]</f>
        <v>0.375</v>
      </c>
      <c r="S343" s="16" t="str">
        <f t="shared" si="5"/>
        <v>25-34</v>
      </c>
    </row>
    <row r="344" spans="1:19" x14ac:dyDescent="0.35">
      <c r="A344" s="2">
        <v>44544</v>
      </c>
      <c r="B344" s="2" t="str">
        <f>TEXT(Bike_Sales[[#This Row],[Date]],"mmmm")</f>
        <v>December</v>
      </c>
      <c r="C344" s="19">
        <f>MONTH(Bike_Sales[[#This Row],[Date]])</f>
        <v>12</v>
      </c>
      <c r="D344" s="2" t="str">
        <f>TEXT(Bike_Sales[[#This Row],[Date]],"dddd")</f>
        <v>Tuesday</v>
      </c>
      <c r="E344" s="3">
        <v>32</v>
      </c>
      <c r="F344" s="3" t="s">
        <v>126</v>
      </c>
      <c r="G344" s="3" t="s">
        <v>9</v>
      </c>
      <c r="H344" s="3" t="s">
        <v>10</v>
      </c>
      <c r="I344" s="3" t="s">
        <v>16</v>
      </c>
      <c r="J344" s="3" t="s">
        <v>101</v>
      </c>
      <c r="K344" s="3" t="s">
        <v>49</v>
      </c>
      <c r="L344" s="4">
        <v>1</v>
      </c>
      <c r="M344" s="3">
        <v>550</v>
      </c>
      <c r="N344" s="3">
        <v>850</v>
      </c>
      <c r="O344" s="15">
        <f>Bike_Sales[[#This Row],[Order_Quantity]]*Bike_Sales[[#This Row],[Unit_Price]]</f>
        <v>850</v>
      </c>
      <c r="P344" s="15">
        <f>Bike_Sales[[#This Row],[Order_Quantity]]*Bike_Sales[[#This Row],[Unit_Cost]]</f>
        <v>550</v>
      </c>
      <c r="Q344" s="15">
        <f>Bike_Sales[[#This Row],[Total Sales]]-Bike_Sales[[#This Row],[Total Cost]]</f>
        <v>300</v>
      </c>
      <c r="R344" s="17">
        <f>Bike_Sales[[#This Row],[Profit]]/Bike_Sales[[#This Row],[Total Sales]]</f>
        <v>0.35294117647058826</v>
      </c>
      <c r="S344" s="16" t="str">
        <f t="shared" si="5"/>
        <v>25-34</v>
      </c>
    </row>
    <row r="345" spans="1:19" x14ac:dyDescent="0.35">
      <c r="A345" s="2">
        <v>44544</v>
      </c>
      <c r="B345" s="2" t="str">
        <f>TEXT(Bike_Sales[[#This Row],[Date]],"mmmm")</f>
        <v>December</v>
      </c>
      <c r="C345" s="19">
        <f>MONTH(Bike_Sales[[#This Row],[Date]])</f>
        <v>12</v>
      </c>
      <c r="D345" s="2" t="str">
        <f>TEXT(Bike_Sales[[#This Row],[Date]],"dddd")</f>
        <v>Tuesday</v>
      </c>
      <c r="E345" s="3">
        <v>32</v>
      </c>
      <c r="F345" s="3" t="s">
        <v>135</v>
      </c>
      <c r="G345" s="3" t="s">
        <v>18</v>
      </c>
      <c r="H345" s="3" t="s">
        <v>35</v>
      </c>
      <c r="I345" s="3" t="s">
        <v>16</v>
      </c>
      <c r="J345" s="3" t="s">
        <v>103</v>
      </c>
      <c r="K345" s="3" t="s">
        <v>78</v>
      </c>
      <c r="L345" s="4">
        <v>1</v>
      </c>
      <c r="M345" s="3">
        <v>450</v>
      </c>
      <c r="N345" s="3">
        <v>720</v>
      </c>
      <c r="O345" s="15">
        <f>Bike_Sales[[#This Row],[Order_Quantity]]*Bike_Sales[[#This Row],[Unit_Price]]</f>
        <v>720</v>
      </c>
      <c r="P345" s="15">
        <f>Bike_Sales[[#This Row],[Order_Quantity]]*Bike_Sales[[#This Row],[Unit_Cost]]</f>
        <v>450</v>
      </c>
      <c r="Q345" s="15">
        <f>Bike_Sales[[#This Row],[Total Sales]]-Bike_Sales[[#This Row],[Total Cost]]</f>
        <v>270</v>
      </c>
      <c r="R345" s="17">
        <f>Bike_Sales[[#This Row],[Profit]]/Bike_Sales[[#This Row],[Total Sales]]</f>
        <v>0.375</v>
      </c>
      <c r="S345" s="16" t="str">
        <f t="shared" si="5"/>
        <v>25-34</v>
      </c>
    </row>
    <row r="346" spans="1:19" x14ac:dyDescent="0.35">
      <c r="A346" s="2">
        <v>44546</v>
      </c>
      <c r="B346" s="2" t="str">
        <f>TEXT(Bike_Sales[[#This Row],[Date]],"mmmm")</f>
        <v>December</v>
      </c>
      <c r="C346" s="19">
        <f>MONTH(Bike_Sales[[#This Row],[Date]])</f>
        <v>12</v>
      </c>
      <c r="D346" s="2" t="str">
        <f>TEXT(Bike_Sales[[#This Row],[Date]],"dddd")</f>
        <v>Thursday</v>
      </c>
      <c r="E346" s="3">
        <v>32</v>
      </c>
      <c r="F346" s="3" t="s">
        <v>126</v>
      </c>
      <c r="G346" s="3" t="s">
        <v>39</v>
      </c>
      <c r="H346" s="3" t="s">
        <v>80</v>
      </c>
      <c r="I346" s="3" t="s">
        <v>11</v>
      </c>
      <c r="J346" s="3" t="s">
        <v>102</v>
      </c>
      <c r="K346" s="3" t="s">
        <v>43</v>
      </c>
      <c r="L346" s="4">
        <v>1</v>
      </c>
      <c r="M346" s="3">
        <v>900</v>
      </c>
      <c r="N346" s="3">
        <v>1400</v>
      </c>
      <c r="O346" s="15">
        <f>Bike_Sales[[#This Row],[Order_Quantity]]*Bike_Sales[[#This Row],[Unit_Price]]</f>
        <v>1400</v>
      </c>
      <c r="P346" s="15">
        <f>Bike_Sales[[#This Row],[Order_Quantity]]*Bike_Sales[[#This Row],[Unit_Cost]]</f>
        <v>900</v>
      </c>
      <c r="Q346" s="15">
        <f>Bike_Sales[[#This Row],[Total Sales]]-Bike_Sales[[#This Row],[Total Cost]]</f>
        <v>500</v>
      </c>
      <c r="R346" s="17">
        <f>Bike_Sales[[#This Row],[Profit]]/Bike_Sales[[#This Row],[Total Sales]]</f>
        <v>0.35714285714285715</v>
      </c>
      <c r="S346" s="16" t="str">
        <f t="shared" si="5"/>
        <v>25-34</v>
      </c>
    </row>
    <row r="347" spans="1:19" x14ac:dyDescent="0.35">
      <c r="A347" s="2">
        <v>44561</v>
      </c>
      <c r="B347" s="2" t="str">
        <f>TEXT(Bike_Sales[[#This Row],[Date]],"mmmm")</f>
        <v>December</v>
      </c>
      <c r="C347" s="19">
        <f>MONTH(Bike_Sales[[#This Row],[Date]])</f>
        <v>12</v>
      </c>
      <c r="D347" s="2" t="str">
        <f>TEXT(Bike_Sales[[#This Row],[Date]],"dddd")</f>
        <v>Friday</v>
      </c>
      <c r="E347" s="3">
        <v>32</v>
      </c>
      <c r="F347" s="3" t="s">
        <v>126</v>
      </c>
      <c r="G347" s="3" t="s">
        <v>39</v>
      </c>
      <c r="H347" s="3" t="s">
        <v>76</v>
      </c>
      <c r="I347" s="3" t="s">
        <v>11</v>
      </c>
      <c r="J347" s="3" t="s">
        <v>102</v>
      </c>
      <c r="K347" s="3" t="s">
        <v>26</v>
      </c>
      <c r="L347" s="4">
        <v>4</v>
      </c>
      <c r="M347" s="3">
        <v>900</v>
      </c>
      <c r="N347" s="3">
        <v>1400</v>
      </c>
      <c r="O347" s="15">
        <f>Bike_Sales[[#This Row],[Order_Quantity]]*Bike_Sales[[#This Row],[Unit_Price]]</f>
        <v>5600</v>
      </c>
      <c r="P347" s="15">
        <f>Bike_Sales[[#This Row],[Order_Quantity]]*Bike_Sales[[#This Row],[Unit_Cost]]</f>
        <v>3600</v>
      </c>
      <c r="Q347" s="15">
        <f>Bike_Sales[[#This Row],[Total Sales]]-Bike_Sales[[#This Row],[Total Cost]]</f>
        <v>2000</v>
      </c>
      <c r="R347" s="17">
        <f>Bike_Sales[[#This Row],[Profit]]/Bike_Sales[[#This Row],[Total Sales]]</f>
        <v>0.35714285714285715</v>
      </c>
      <c r="S347" s="16" t="str">
        <f t="shared" si="5"/>
        <v>25-34</v>
      </c>
    </row>
    <row r="348" spans="1:19" x14ac:dyDescent="0.35">
      <c r="A348" s="2">
        <v>44486</v>
      </c>
      <c r="B348" s="2" t="str">
        <f>TEXT(Bike_Sales[[#This Row],[Date]],"mmmm")</f>
        <v>October</v>
      </c>
      <c r="C348" s="19">
        <f>MONTH(Bike_Sales[[#This Row],[Date]])</f>
        <v>10</v>
      </c>
      <c r="D348" s="2" t="str">
        <f>TEXT(Bike_Sales[[#This Row],[Date]],"dddd")</f>
        <v>Sunday</v>
      </c>
      <c r="E348" s="3">
        <v>33</v>
      </c>
      <c r="F348" s="3" t="s">
        <v>126</v>
      </c>
      <c r="G348" s="3" t="s">
        <v>33</v>
      </c>
      <c r="H348" s="3" t="s">
        <v>61</v>
      </c>
      <c r="I348" s="3" t="s">
        <v>11</v>
      </c>
      <c r="J348" s="3" t="s">
        <v>102</v>
      </c>
      <c r="K348" s="3" t="s">
        <v>47</v>
      </c>
      <c r="L348" s="4">
        <v>2</v>
      </c>
      <c r="M348" s="3">
        <v>900</v>
      </c>
      <c r="N348" s="3">
        <v>1400</v>
      </c>
      <c r="O348" s="15">
        <f>Bike_Sales[[#This Row],[Order_Quantity]]*Bike_Sales[[#This Row],[Unit_Price]]</f>
        <v>2800</v>
      </c>
      <c r="P348" s="15">
        <f>Bike_Sales[[#This Row],[Order_Quantity]]*Bike_Sales[[#This Row],[Unit_Cost]]</f>
        <v>1800</v>
      </c>
      <c r="Q348" s="15">
        <f>Bike_Sales[[#This Row],[Total Sales]]-Bike_Sales[[#This Row],[Total Cost]]</f>
        <v>1000</v>
      </c>
      <c r="R348" s="17">
        <f>Bike_Sales[[#This Row],[Profit]]/Bike_Sales[[#This Row],[Total Sales]]</f>
        <v>0.35714285714285715</v>
      </c>
      <c r="S348" s="16" t="str">
        <f t="shared" si="5"/>
        <v>25-34</v>
      </c>
    </row>
    <row r="349" spans="1:19" x14ac:dyDescent="0.35">
      <c r="A349" s="2">
        <v>44499</v>
      </c>
      <c r="B349" s="2" t="str">
        <f>TEXT(Bike_Sales[[#This Row],[Date]],"mmmm")</f>
        <v>October</v>
      </c>
      <c r="C349" s="19">
        <f>MONTH(Bike_Sales[[#This Row],[Date]])</f>
        <v>10</v>
      </c>
      <c r="D349" s="2" t="str">
        <f>TEXT(Bike_Sales[[#This Row],[Date]],"dddd")</f>
        <v>Saturday</v>
      </c>
      <c r="E349" s="3">
        <v>33</v>
      </c>
      <c r="F349" s="3" t="s">
        <v>135</v>
      </c>
      <c r="G349" s="3" t="s">
        <v>18</v>
      </c>
      <c r="H349" s="3" t="s">
        <v>35</v>
      </c>
      <c r="I349" s="3" t="s">
        <v>11</v>
      </c>
      <c r="J349" s="3" t="s">
        <v>101</v>
      </c>
      <c r="K349" s="3" t="s">
        <v>41</v>
      </c>
      <c r="L349" s="4">
        <v>4</v>
      </c>
      <c r="M349" s="3">
        <v>580</v>
      </c>
      <c r="N349" s="3">
        <v>920</v>
      </c>
      <c r="O349" s="15">
        <f>Bike_Sales[[#This Row],[Order_Quantity]]*Bike_Sales[[#This Row],[Unit_Price]]</f>
        <v>3680</v>
      </c>
      <c r="P349" s="15">
        <f>Bike_Sales[[#This Row],[Order_Quantity]]*Bike_Sales[[#This Row],[Unit_Cost]]</f>
        <v>2320</v>
      </c>
      <c r="Q349" s="15">
        <f>Bike_Sales[[#This Row],[Total Sales]]-Bike_Sales[[#This Row],[Total Cost]]</f>
        <v>1360</v>
      </c>
      <c r="R349" s="17">
        <f>Bike_Sales[[#This Row],[Profit]]/Bike_Sales[[#This Row],[Total Sales]]</f>
        <v>0.36956521739130432</v>
      </c>
      <c r="S349" s="16" t="str">
        <f t="shared" si="5"/>
        <v>25-34</v>
      </c>
    </row>
    <row r="350" spans="1:19" x14ac:dyDescent="0.35">
      <c r="A350" s="2">
        <v>44499</v>
      </c>
      <c r="B350" s="2" t="str">
        <f>TEXT(Bike_Sales[[#This Row],[Date]],"mmmm")</f>
        <v>October</v>
      </c>
      <c r="C350" s="19">
        <f>MONTH(Bike_Sales[[#This Row],[Date]])</f>
        <v>10</v>
      </c>
      <c r="D350" s="2" t="str">
        <f>TEXT(Bike_Sales[[#This Row],[Date]],"dddd")</f>
        <v>Saturday</v>
      </c>
      <c r="E350" s="3">
        <v>33</v>
      </c>
      <c r="F350" s="3" t="s">
        <v>135</v>
      </c>
      <c r="G350" s="3" t="s">
        <v>39</v>
      </c>
      <c r="H350" s="3" t="s">
        <v>79</v>
      </c>
      <c r="I350" s="3" t="s">
        <v>11</v>
      </c>
      <c r="J350" s="3" t="s">
        <v>102</v>
      </c>
      <c r="K350" s="3" t="s">
        <v>66</v>
      </c>
      <c r="L350" s="4">
        <v>3</v>
      </c>
      <c r="M350" s="3">
        <v>900</v>
      </c>
      <c r="N350" s="3">
        <v>1400</v>
      </c>
      <c r="O350" s="15">
        <f>Bike_Sales[[#This Row],[Order_Quantity]]*Bike_Sales[[#This Row],[Unit_Price]]</f>
        <v>4200</v>
      </c>
      <c r="P350" s="15">
        <f>Bike_Sales[[#This Row],[Order_Quantity]]*Bike_Sales[[#This Row],[Unit_Cost]]</f>
        <v>2700</v>
      </c>
      <c r="Q350" s="15">
        <f>Bike_Sales[[#This Row],[Total Sales]]-Bike_Sales[[#This Row],[Total Cost]]</f>
        <v>1500</v>
      </c>
      <c r="R350" s="17">
        <f>Bike_Sales[[#This Row],[Profit]]/Bike_Sales[[#This Row],[Total Sales]]</f>
        <v>0.35714285714285715</v>
      </c>
      <c r="S350" s="16" t="str">
        <f t="shared" si="5"/>
        <v>25-34</v>
      </c>
    </row>
    <row r="351" spans="1:19" x14ac:dyDescent="0.35">
      <c r="A351" s="2">
        <v>44509</v>
      </c>
      <c r="B351" s="2" t="str">
        <f>TEXT(Bike_Sales[[#This Row],[Date]],"mmmm")</f>
        <v>November</v>
      </c>
      <c r="C351" s="19">
        <f>MONTH(Bike_Sales[[#This Row],[Date]])</f>
        <v>11</v>
      </c>
      <c r="D351" s="2" t="str">
        <f>TEXT(Bike_Sales[[#This Row],[Date]],"dddd")</f>
        <v>Tuesday</v>
      </c>
      <c r="E351" s="3">
        <v>33</v>
      </c>
      <c r="F351" s="3" t="s">
        <v>135</v>
      </c>
      <c r="G351" s="3" t="s">
        <v>39</v>
      </c>
      <c r="H351" s="3" t="s">
        <v>40</v>
      </c>
      <c r="I351" s="3" t="s">
        <v>11</v>
      </c>
      <c r="J351" s="3" t="s">
        <v>104</v>
      </c>
      <c r="K351" s="3" t="s">
        <v>68</v>
      </c>
      <c r="L351" s="4">
        <v>4</v>
      </c>
      <c r="M351" s="3">
        <v>500</v>
      </c>
      <c r="N351" s="3">
        <v>800</v>
      </c>
      <c r="O351" s="15">
        <f>Bike_Sales[[#This Row],[Order_Quantity]]*Bike_Sales[[#This Row],[Unit_Price]]</f>
        <v>3200</v>
      </c>
      <c r="P351" s="15">
        <f>Bike_Sales[[#This Row],[Order_Quantity]]*Bike_Sales[[#This Row],[Unit_Cost]]</f>
        <v>2000</v>
      </c>
      <c r="Q351" s="15">
        <f>Bike_Sales[[#This Row],[Total Sales]]-Bike_Sales[[#This Row],[Total Cost]]</f>
        <v>1200</v>
      </c>
      <c r="R351" s="17">
        <f>Bike_Sales[[#This Row],[Profit]]/Bike_Sales[[#This Row],[Total Sales]]</f>
        <v>0.375</v>
      </c>
      <c r="S351" s="16" t="str">
        <f t="shared" si="5"/>
        <v>25-34</v>
      </c>
    </row>
    <row r="352" spans="1:19" x14ac:dyDescent="0.35">
      <c r="A352" s="2">
        <v>44516</v>
      </c>
      <c r="B352" s="2" t="str">
        <f>TEXT(Bike_Sales[[#This Row],[Date]],"mmmm")</f>
        <v>November</v>
      </c>
      <c r="C352" s="19">
        <f>MONTH(Bike_Sales[[#This Row],[Date]])</f>
        <v>11</v>
      </c>
      <c r="D352" s="2" t="str">
        <f>TEXT(Bike_Sales[[#This Row],[Date]],"dddd")</f>
        <v>Tuesday</v>
      </c>
      <c r="E352" s="3">
        <v>33</v>
      </c>
      <c r="F352" s="3" t="s">
        <v>135</v>
      </c>
      <c r="G352" s="3" t="s">
        <v>9</v>
      </c>
      <c r="H352" s="3" t="s">
        <v>10</v>
      </c>
      <c r="I352" s="3" t="s">
        <v>16</v>
      </c>
      <c r="J352" s="3" t="s">
        <v>101</v>
      </c>
      <c r="K352" s="3" t="s">
        <v>25</v>
      </c>
      <c r="L352" s="4">
        <v>1</v>
      </c>
      <c r="M352" s="3">
        <v>550</v>
      </c>
      <c r="N352" s="3">
        <v>850</v>
      </c>
      <c r="O352" s="15">
        <f>Bike_Sales[[#This Row],[Order_Quantity]]*Bike_Sales[[#This Row],[Unit_Price]]</f>
        <v>850</v>
      </c>
      <c r="P352" s="15">
        <f>Bike_Sales[[#This Row],[Order_Quantity]]*Bike_Sales[[#This Row],[Unit_Cost]]</f>
        <v>550</v>
      </c>
      <c r="Q352" s="15">
        <f>Bike_Sales[[#This Row],[Total Sales]]-Bike_Sales[[#This Row],[Total Cost]]</f>
        <v>300</v>
      </c>
      <c r="R352" s="17">
        <f>Bike_Sales[[#This Row],[Profit]]/Bike_Sales[[#This Row],[Total Sales]]</f>
        <v>0.35294117647058826</v>
      </c>
      <c r="S352" s="16" t="str">
        <f t="shared" si="5"/>
        <v>25-34</v>
      </c>
    </row>
    <row r="353" spans="1:19" x14ac:dyDescent="0.35">
      <c r="A353" s="2">
        <v>44519</v>
      </c>
      <c r="B353" s="2" t="str">
        <f>TEXT(Bike_Sales[[#This Row],[Date]],"mmmm")</f>
        <v>November</v>
      </c>
      <c r="C353" s="19">
        <f>MONTH(Bike_Sales[[#This Row],[Date]])</f>
        <v>11</v>
      </c>
      <c r="D353" s="2" t="str">
        <f>TEXT(Bike_Sales[[#This Row],[Date]],"dddd")</f>
        <v>Friday</v>
      </c>
      <c r="E353" s="3">
        <v>33</v>
      </c>
      <c r="F353" s="3" t="s">
        <v>126</v>
      </c>
      <c r="G353" s="3" t="s">
        <v>9</v>
      </c>
      <c r="H353" s="3" t="s">
        <v>10</v>
      </c>
      <c r="I353" s="3" t="s">
        <v>16</v>
      </c>
      <c r="J353" s="3" t="s">
        <v>103</v>
      </c>
      <c r="K353" s="3" t="s">
        <v>45</v>
      </c>
      <c r="L353" s="4">
        <v>4</v>
      </c>
      <c r="M353" s="3">
        <v>550</v>
      </c>
      <c r="N353" s="3">
        <v>850</v>
      </c>
      <c r="O353" s="15">
        <f>Bike_Sales[[#This Row],[Order_Quantity]]*Bike_Sales[[#This Row],[Unit_Price]]</f>
        <v>3400</v>
      </c>
      <c r="P353" s="15">
        <f>Bike_Sales[[#This Row],[Order_Quantity]]*Bike_Sales[[#This Row],[Unit_Cost]]</f>
        <v>2200</v>
      </c>
      <c r="Q353" s="15">
        <f>Bike_Sales[[#This Row],[Total Sales]]-Bike_Sales[[#This Row],[Total Cost]]</f>
        <v>1200</v>
      </c>
      <c r="R353" s="17">
        <f>Bike_Sales[[#This Row],[Profit]]/Bike_Sales[[#This Row],[Total Sales]]</f>
        <v>0.35294117647058826</v>
      </c>
      <c r="S353" s="16" t="str">
        <f t="shared" si="5"/>
        <v>25-34</v>
      </c>
    </row>
    <row r="354" spans="1:19" x14ac:dyDescent="0.35">
      <c r="A354" s="2">
        <v>44524</v>
      </c>
      <c r="B354" s="2" t="str">
        <f>TEXT(Bike_Sales[[#This Row],[Date]],"mmmm")</f>
        <v>November</v>
      </c>
      <c r="C354" s="19">
        <f>MONTH(Bike_Sales[[#This Row],[Date]])</f>
        <v>11</v>
      </c>
      <c r="D354" s="2" t="str">
        <f>TEXT(Bike_Sales[[#This Row],[Date]],"dddd")</f>
        <v>Wednesday</v>
      </c>
      <c r="E354" s="3">
        <v>33</v>
      </c>
      <c r="F354" s="3" t="s">
        <v>135</v>
      </c>
      <c r="G354" s="3" t="s">
        <v>9</v>
      </c>
      <c r="H354" s="3" t="s">
        <v>69</v>
      </c>
      <c r="I354" s="3" t="s">
        <v>11</v>
      </c>
      <c r="J354" s="3" t="s">
        <v>104</v>
      </c>
      <c r="K354" s="3" t="s">
        <v>53</v>
      </c>
      <c r="L354" s="4">
        <v>1</v>
      </c>
      <c r="M354" s="3">
        <v>500</v>
      </c>
      <c r="N354" s="3">
        <v>800</v>
      </c>
      <c r="O354" s="15">
        <f>Bike_Sales[[#This Row],[Order_Quantity]]*Bike_Sales[[#This Row],[Unit_Price]]</f>
        <v>800</v>
      </c>
      <c r="P354" s="15">
        <f>Bike_Sales[[#This Row],[Order_Quantity]]*Bike_Sales[[#This Row],[Unit_Cost]]</f>
        <v>500</v>
      </c>
      <c r="Q354" s="15">
        <f>Bike_Sales[[#This Row],[Total Sales]]-Bike_Sales[[#This Row],[Total Cost]]</f>
        <v>300</v>
      </c>
      <c r="R354" s="17">
        <f>Bike_Sales[[#This Row],[Profit]]/Bike_Sales[[#This Row],[Total Sales]]</f>
        <v>0.375</v>
      </c>
      <c r="S354" s="16" t="str">
        <f t="shared" si="5"/>
        <v>25-34</v>
      </c>
    </row>
    <row r="355" spans="1:19" x14ac:dyDescent="0.35">
      <c r="A355" s="2">
        <v>44537</v>
      </c>
      <c r="B355" s="2" t="str">
        <f>TEXT(Bike_Sales[[#This Row],[Date]],"mmmm")</f>
        <v>December</v>
      </c>
      <c r="C355" s="19">
        <f>MONTH(Bike_Sales[[#This Row],[Date]])</f>
        <v>12</v>
      </c>
      <c r="D355" s="2" t="str">
        <f>TEXT(Bike_Sales[[#This Row],[Date]],"dddd")</f>
        <v>Tuesday</v>
      </c>
      <c r="E355" s="3">
        <v>33</v>
      </c>
      <c r="F355" s="3" t="s">
        <v>126</v>
      </c>
      <c r="G355" s="3" t="s">
        <v>39</v>
      </c>
      <c r="H355" s="3" t="s">
        <v>132</v>
      </c>
      <c r="I355" s="3" t="s">
        <v>11</v>
      </c>
      <c r="J355" s="3" t="s">
        <v>101</v>
      </c>
      <c r="K355" s="3" t="s">
        <v>54</v>
      </c>
      <c r="L355" s="4">
        <v>1</v>
      </c>
      <c r="M355" s="3">
        <v>580</v>
      </c>
      <c r="N355" s="3">
        <v>920</v>
      </c>
      <c r="O355" s="15">
        <f>Bike_Sales[[#This Row],[Order_Quantity]]*Bike_Sales[[#This Row],[Unit_Price]]</f>
        <v>920</v>
      </c>
      <c r="P355" s="15">
        <f>Bike_Sales[[#This Row],[Order_Quantity]]*Bike_Sales[[#This Row],[Unit_Cost]]</f>
        <v>580</v>
      </c>
      <c r="Q355" s="15">
        <f>Bike_Sales[[#This Row],[Total Sales]]-Bike_Sales[[#This Row],[Total Cost]]</f>
        <v>340</v>
      </c>
      <c r="R355" s="17">
        <f>Bike_Sales[[#This Row],[Profit]]/Bike_Sales[[#This Row],[Total Sales]]</f>
        <v>0.36956521739130432</v>
      </c>
      <c r="S355" s="16" t="str">
        <f t="shared" si="5"/>
        <v>25-34</v>
      </c>
    </row>
    <row r="356" spans="1:19" x14ac:dyDescent="0.35">
      <c r="A356" s="2">
        <v>44539</v>
      </c>
      <c r="B356" s="2" t="str">
        <f>TEXT(Bike_Sales[[#This Row],[Date]],"mmmm")</f>
        <v>December</v>
      </c>
      <c r="C356" s="19">
        <f>MONTH(Bike_Sales[[#This Row],[Date]])</f>
        <v>12</v>
      </c>
      <c r="D356" s="2" t="str">
        <f>TEXT(Bike_Sales[[#This Row],[Date]],"dddd")</f>
        <v>Thursday</v>
      </c>
      <c r="E356" s="3">
        <v>33</v>
      </c>
      <c r="F356" s="3" t="s">
        <v>135</v>
      </c>
      <c r="G356" s="3" t="s">
        <v>18</v>
      </c>
      <c r="H356" s="3" t="s">
        <v>35</v>
      </c>
      <c r="I356" s="3" t="s">
        <v>16</v>
      </c>
      <c r="J356" s="3" t="s">
        <v>101</v>
      </c>
      <c r="K356" s="3" t="s">
        <v>93</v>
      </c>
      <c r="L356" s="4">
        <v>2</v>
      </c>
      <c r="M356" s="3">
        <v>400</v>
      </c>
      <c r="N356" s="3">
        <v>650</v>
      </c>
      <c r="O356" s="15">
        <f>Bike_Sales[[#This Row],[Order_Quantity]]*Bike_Sales[[#This Row],[Unit_Price]]</f>
        <v>1300</v>
      </c>
      <c r="P356" s="15">
        <f>Bike_Sales[[#This Row],[Order_Quantity]]*Bike_Sales[[#This Row],[Unit_Cost]]</f>
        <v>800</v>
      </c>
      <c r="Q356" s="15">
        <f>Bike_Sales[[#This Row],[Total Sales]]-Bike_Sales[[#This Row],[Total Cost]]</f>
        <v>500</v>
      </c>
      <c r="R356" s="17">
        <f>Bike_Sales[[#This Row],[Profit]]/Bike_Sales[[#This Row],[Total Sales]]</f>
        <v>0.38461538461538464</v>
      </c>
      <c r="S356" s="16" t="str">
        <f t="shared" si="5"/>
        <v>25-34</v>
      </c>
    </row>
    <row r="357" spans="1:19" x14ac:dyDescent="0.35">
      <c r="A357" s="2">
        <v>44542</v>
      </c>
      <c r="B357" s="2" t="str">
        <f>TEXT(Bike_Sales[[#This Row],[Date]],"mmmm")</f>
        <v>December</v>
      </c>
      <c r="C357" s="19">
        <f>MONTH(Bike_Sales[[#This Row],[Date]])</f>
        <v>12</v>
      </c>
      <c r="D357" s="2" t="str">
        <f>TEXT(Bike_Sales[[#This Row],[Date]],"dddd")</f>
        <v>Sunday</v>
      </c>
      <c r="E357" s="3">
        <v>33</v>
      </c>
      <c r="F357" s="3" t="s">
        <v>135</v>
      </c>
      <c r="G357" s="3" t="s">
        <v>129</v>
      </c>
      <c r="H357" s="3" t="s">
        <v>15</v>
      </c>
      <c r="I357" s="3" t="s">
        <v>11</v>
      </c>
      <c r="J357" s="3" t="s">
        <v>104</v>
      </c>
      <c r="K357" s="3" t="s">
        <v>52</v>
      </c>
      <c r="L357" s="4">
        <v>3</v>
      </c>
      <c r="M357" s="3">
        <v>530</v>
      </c>
      <c r="N357" s="3">
        <v>840</v>
      </c>
      <c r="O357" s="15">
        <f>Bike_Sales[[#This Row],[Order_Quantity]]*Bike_Sales[[#This Row],[Unit_Price]]</f>
        <v>2520</v>
      </c>
      <c r="P357" s="15">
        <f>Bike_Sales[[#This Row],[Order_Quantity]]*Bike_Sales[[#This Row],[Unit_Cost]]</f>
        <v>1590</v>
      </c>
      <c r="Q357" s="15">
        <f>Bike_Sales[[#This Row],[Total Sales]]-Bike_Sales[[#This Row],[Total Cost]]</f>
        <v>930</v>
      </c>
      <c r="R357" s="17">
        <f>Bike_Sales[[#This Row],[Profit]]/Bike_Sales[[#This Row],[Total Sales]]</f>
        <v>0.36904761904761907</v>
      </c>
      <c r="S357" s="16" t="str">
        <f t="shared" si="5"/>
        <v>25-34</v>
      </c>
    </row>
    <row r="358" spans="1:19" x14ac:dyDescent="0.35">
      <c r="A358" s="2">
        <v>44542</v>
      </c>
      <c r="B358" s="2" t="str">
        <f>TEXT(Bike_Sales[[#This Row],[Date]],"mmmm")</f>
        <v>December</v>
      </c>
      <c r="C358" s="19">
        <f>MONTH(Bike_Sales[[#This Row],[Date]])</f>
        <v>12</v>
      </c>
      <c r="D358" s="2" t="str">
        <f>TEXT(Bike_Sales[[#This Row],[Date]],"dddd")</f>
        <v>Sunday</v>
      </c>
      <c r="E358" s="3">
        <v>33</v>
      </c>
      <c r="F358" s="3" t="s">
        <v>126</v>
      </c>
      <c r="G358" s="3" t="s">
        <v>33</v>
      </c>
      <c r="H358" s="3" t="s">
        <v>56</v>
      </c>
      <c r="I358" s="3" t="s">
        <v>11</v>
      </c>
      <c r="J358" s="3" t="s">
        <v>102</v>
      </c>
      <c r="K358" s="3" t="s">
        <v>28</v>
      </c>
      <c r="L358" s="4">
        <v>1</v>
      </c>
      <c r="M358" s="3">
        <v>580</v>
      </c>
      <c r="N358" s="3">
        <v>920</v>
      </c>
      <c r="O358" s="15">
        <f>Bike_Sales[[#This Row],[Order_Quantity]]*Bike_Sales[[#This Row],[Unit_Price]]</f>
        <v>920</v>
      </c>
      <c r="P358" s="15">
        <f>Bike_Sales[[#This Row],[Order_Quantity]]*Bike_Sales[[#This Row],[Unit_Cost]]</f>
        <v>580</v>
      </c>
      <c r="Q358" s="15">
        <f>Bike_Sales[[#This Row],[Total Sales]]-Bike_Sales[[#This Row],[Total Cost]]</f>
        <v>340</v>
      </c>
      <c r="R358" s="17">
        <f>Bike_Sales[[#This Row],[Profit]]/Bike_Sales[[#This Row],[Total Sales]]</f>
        <v>0.36956521739130432</v>
      </c>
      <c r="S358" s="16" t="str">
        <f t="shared" si="5"/>
        <v>25-34</v>
      </c>
    </row>
    <row r="359" spans="1:19" x14ac:dyDescent="0.35">
      <c r="A359" s="2">
        <v>44544</v>
      </c>
      <c r="B359" s="2" t="str">
        <f>TEXT(Bike_Sales[[#This Row],[Date]],"mmmm")</f>
        <v>December</v>
      </c>
      <c r="C359" s="19">
        <f>MONTH(Bike_Sales[[#This Row],[Date]])</f>
        <v>12</v>
      </c>
      <c r="D359" s="2" t="str">
        <f>TEXT(Bike_Sales[[#This Row],[Date]],"dddd")</f>
        <v>Tuesday</v>
      </c>
      <c r="E359" s="3">
        <v>33</v>
      </c>
      <c r="F359" s="3" t="s">
        <v>135</v>
      </c>
      <c r="G359" s="3" t="s">
        <v>33</v>
      </c>
      <c r="H359" s="3" t="s">
        <v>73</v>
      </c>
      <c r="I359" s="3" t="s">
        <v>11</v>
      </c>
      <c r="J359" s="3" t="s">
        <v>102</v>
      </c>
      <c r="K359" s="3" t="s">
        <v>26</v>
      </c>
      <c r="L359" s="4">
        <v>4</v>
      </c>
      <c r="M359" s="3">
        <v>900</v>
      </c>
      <c r="N359" s="3">
        <v>1400</v>
      </c>
      <c r="O359" s="15">
        <f>Bike_Sales[[#This Row],[Order_Quantity]]*Bike_Sales[[#This Row],[Unit_Price]]</f>
        <v>5600</v>
      </c>
      <c r="P359" s="15">
        <f>Bike_Sales[[#This Row],[Order_Quantity]]*Bike_Sales[[#This Row],[Unit_Cost]]</f>
        <v>3600</v>
      </c>
      <c r="Q359" s="15">
        <f>Bike_Sales[[#This Row],[Total Sales]]-Bike_Sales[[#This Row],[Total Cost]]</f>
        <v>2000</v>
      </c>
      <c r="R359" s="17">
        <f>Bike_Sales[[#This Row],[Profit]]/Bike_Sales[[#This Row],[Total Sales]]</f>
        <v>0.35714285714285715</v>
      </c>
      <c r="S359" s="16" t="str">
        <f t="shared" si="5"/>
        <v>25-34</v>
      </c>
    </row>
    <row r="360" spans="1:19" x14ac:dyDescent="0.35">
      <c r="A360" s="2">
        <v>44546</v>
      </c>
      <c r="B360" s="2" t="str">
        <f>TEXT(Bike_Sales[[#This Row],[Date]],"mmmm")</f>
        <v>December</v>
      </c>
      <c r="C360" s="19">
        <f>MONTH(Bike_Sales[[#This Row],[Date]])</f>
        <v>12</v>
      </c>
      <c r="D360" s="2" t="str">
        <f>TEXT(Bike_Sales[[#This Row],[Date]],"dddd")</f>
        <v>Thursday</v>
      </c>
      <c r="E360" s="3">
        <v>33</v>
      </c>
      <c r="F360" s="3" t="s">
        <v>135</v>
      </c>
      <c r="G360" s="3" t="s">
        <v>18</v>
      </c>
      <c r="H360" s="3" t="s">
        <v>24</v>
      </c>
      <c r="I360" s="3" t="s">
        <v>16</v>
      </c>
      <c r="J360" s="3" t="s">
        <v>101</v>
      </c>
      <c r="K360" s="3" t="s">
        <v>17</v>
      </c>
      <c r="L360" s="4">
        <v>2</v>
      </c>
      <c r="M360" s="3">
        <v>550</v>
      </c>
      <c r="N360" s="3">
        <v>850</v>
      </c>
      <c r="O360" s="15">
        <f>Bike_Sales[[#This Row],[Order_Quantity]]*Bike_Sales[[#This Row],[Unit_Price]]</f>
        <v>1700</v>
      </c>
      <c r="P360" s="15">
        <f>Bike_Sales[[#This Row],[Order_Quantity]]*Bike_Sales[[#This Row],[Unit_Cost]]</f>
        <v>1100</v>
      </c>
      <c r="Q360" s="15">
        <f>Bike_Sales[[#This Row],[Total Sales]]-Bike_Sales[[#This Row],[Total Cost]]</f>
        <v>600</v>
      </c>
      <c r="R360" s="17">
        <f>Bike_Sales[[#This Row],[Profit]]/Bike_Sales[[#This Row],[Total Sales]]</f>
        <v>0.35294117647058826</v>
      </c>
      <c r="S360" s="16" t="str">
        <f t="shared" si="5"/>
        <v>25-34</v>
      </c>
    </row>
    <row r="361" spans="1:19" x14ac:dyDescent="0.35">
      <c r="A361" s="2">
        <v>44550</v>
      </c>
      <c r="B361" s="2" t="str">
        <f>TEXT(Bike_Sales[[#This Row],[Date]],"mmmm")</f>
        <v>December</v>
      </c>
      <c r="C361" s="19">
        <f>MONTH(Bike_Sales[[#This Row],[Date]])</f>
        <v>12</v>
      </c>
      <c r="D361" s="2" t="str">
        <f>TEXT(Bike_Sales[[#This Row],[Date]],"dddd")</f>
        <v>Monday</v>
      </c>
      <c r="E361" s="3">
        <v>33</v>
      </c>
      <c r="F361" s="3" t="s">
        <v>135</v>
      </c>
      <c r="G361" s="3" t="s">
        <v>18</v>
      </c>
      <c r="H361" s="3" t="s">
        <v>35</v>
      </c>
      <c r="I361" s="3" t="s">
        <v>16</v>
      </c>
      <c r="J361" s="3" t="s">
        <v>101</v>
      </c>
      <c r="K361" s="3" t="s">
        <v>93</v>
      </c>
      <c r="L361" s="4">
        <v>4</v>
      </c>
      <c r="M361" s="3">
        <v>400</v>
      </c>
      <c r="N361" s="3">
        <v>650</v>
      </c>
      <c r="O361" s="15">
        <f>Bike_Sales[[#This Row],[Order_Quantity]]*Bike_Sales[[#This Row],[Unit_Price]]</f>
        <v>2600</v>
      </c>
      <c r="P361" s="15">
        <f>Bike_Sales[[#This Row],[Order_Quantity]]*Bike_Sales[[#This Row],[Unit_Cost]]</f>
        <v>1600</v>
      </c>
      <c r="Q361" s="15">
        <f>Bike_Sales[[#This Row],[Total Sales]]-Bike_Sales[[#This Row],[Total Cost]]</f>
        <v>1000</v>
      </c>
      <c r="R361" s="17">
        <f>Bike_Sales[[#This Row],[Profit]]/Bike_Sales[[#This Row],[Total Sales]]</f>
        <v>0.38461538461538464</v>
      </c>
      <c r="S361" s="16" t="str">
        <f t="shared" si="5"/>
        <v>25-34</v>
      </c>
    </row>
    <row r="362" spans="1:19" x14ac:dyDescent="0.35">
      <c r="A362" s="2">
        <v>44550</v>
      </c>
      <c r="B362" s="2" t="str">
        <f>TEXT(Bike_Sales[[#This Row],[Date]],"mmmm")</f>
        <v>December</v>
      </c>
      <c r="C362" s="19">
        <f>MONTH(Bike_Sales[[#This Row],[Date]])</f>
        <v>12</v>
      </c>
      <c r="D362" s="2" t="str">
        <f>TEXT(Bike_Sales[[#This Row],[Date]],"dddd")</f>
        <v>Monday</v>
      </c>
      <c r="E362" s="3">
        <v>33</v>
      </c>
      <c r="F362" s="3" t="s">
        <v>126</v>
      </c>
      <c r="G362" s="3" t="s">
        <v>39</v>
      </c>
      <c r="H362" s="3" t="s">
        <v>133</v>
      </c>
      <c r="I362" s="3" t="s">
        <v>11</v>
      </c>
      <c r="J362" s="3" t="s">
        <v>101</v>
      </c>
      <c r="K362" s="3" t="s">
        <v>46</v>
      </c>
      <c r="L362" s="4">
        <v>3</v>
      </c>
      <c r="M362" s="3">
        <v>580</v>
      </c>
      <c r="N362" s="3">
        <v>920</v>
      </c>
      <c r="O362" s="15">
        <f>Bike_Sales[[#This Row],[Order_Quantity]]*Bike_Sales[[#This Row],[Unit_Price]]</f>
        <v>2760</v>
      </c>
      <c r="P362" s="15">
        <f>Bike_Sales[[#This Row],[Order_Quantity]]*Bike_Sales[[#This Row],[Unit_Cost]]</f>
        <v>1740</v>
      </c>
      <c r="Q362" s="15">
        <f>Bike_Sales[[#This Row],[Total Sales]]-Bike_Sales[[#This Row],[Total Cost]]</f>
        <v>1020</v>
      </c>
      <c r="R362" s="17">
        <f>Bike_Sales[[#This Row],[Profit]]/Bike_Sales[[#This Row],[Total Sales]]</f>
        <v>0.36956521739130432</v>
      </c>
      <c r="S362" s="16" t="str">
        <f t="shared" si="5"/>
        <v>25-34</v>
      </c>
    </row>
    <row r="363" spans="1:19" x14ac:dyDescent="0.35">
      <c r="A363" s="2">
        <v>44561</v>
      </c>
      <c r="B363" s="2" t="str">
        <f>TEXT(Bike_Sales[[#This Row],[Date]],"mmmm")</f>
        <v>December</v>
      </c>
      <c r="C363" s="19">
        <f>MONTH(Bike_Sales[[#This Row],[Date]])</f>
        <v>12</v>
      </c>
      <c r="D363" s="2" t="str">
        <f>TEXT(Bike_Sales[[#This Row],[Date]],"dddd")</f>
        <v>Friday</v>
      </c>
      <c r="E363" s="3">
        <v>33</v>
      </c>
      <c r="F363" s="3" t="s">
        <v>135</v>
      </c>
      <c r="G363" s="3" t="s">
        <v>18</v>
      </c>
      <c r="H363" s="3" t="s">
        <v>24</v>
      </c>
      <c r="I363" s="3" t="s">
        <v>16</v>
      </c>
      <c r="J363" s="3" t="s">
        <v>101</v>
      </c>
      <c r="K363" s="3" t="s">
        <v>17</v>
      </c>
      <c r="L363" s="4">
        <v>1</v>
      </c>
      <c r="M363" s="3">
        <v>550</v>
      </c>
      <c r="N363" s="3">
        <v>850</v>
      </c>
      <c r="O363" s="15">
        <f>Bike_Sales[[#This Row],[Order_Quantity]]*Bike_Sales[[#This Row],[Unit_Price]]</f>
        <v>850</v>
      </c>
      <c r="P363" s="15">
        <f>Bike_Sales[[#This Row],[Order_Quantity]]*Bike_Sales[[#This Row],[Unit_Cost]]</f>
        <v>550</v>
      </c>
      <c r="Q363" s="15">
        <f>Bike_Sales[[#This Row],[Total Sales]]-Bike_Sales[[#This Row],[Total Cost]]</f>
        <v>300</v>
      </c>
      <c r="R363" s="17">
        <f>Bike_Sales[[#This Row],[Profit]]/Bike_Sales[[#This Row],[Total Sales]]</f>
        <v>0.35294117647058826</v>
      </c>
      <c r="S363" s="16" t="str">
        <f t="shared" si="5"/>
        <v>25-34</v>
      </c>
    </row>
    <row r="364" spans="1:19" x14ac:dyDescent="0.35">
      <c r="A364" s="2">
        <v>44472</v>
      </c>
      <c r="B364" s="2" t="str">
        <f>TEXT(Bike_Sales[[#This Row],[Date]],"mmmm")</f>
        <v>October</v>
      </c>
      <c r="C364" s="19">
        <f>MONTH(Bike_Sales[[#This Row],[Date]])</f>
        <v>10</v>
      </c>
      <c r="D364" s="2" t="str">
        <f>TEXT(Bike_Sales[[#This Row],[Date]],"dddd")</f>
        <v>Sunday</v>
      </c>
      <c r="E364" s="3">
        <v>34</v>
      </c>
      <c r="F364" s="3" t="s">
        <v>135</v>
      </c>
      <c r="G364" s="3" t="s">
        <v>18</v>
      </c>
      <c r="H364" s="3" t="s">
        <v>24</v>
      </c>
      <c r="I364" s="3" t="s">
        <v>11</v>
      </c>
      <c r="J364" s="3" t="s">
        <v>101</v>
      </c>
      <c r="K364" s="3" t="s">
        <v>31</v>
      </c>
      <c r="L364" s="4">
        <v>4</v>
      </c>
      <c r="M364" s="3">
        <v>580</v>
      </c>
      <c r="N364" s="3">
        <v>920</v>
      </c>
      <c r="O364" s="15">
        <f>Bike_Sales[[#This Row],[Order_Quantity]]*Bike_Sales[[#This Row],[Unit_Price]]</f>
        <v>3680</v>
      </c>
      <c r="P364" s="15">
        <f>Bike_Sales[[#This Row],[Order_Quantity]]*Bike_Sales[[#This Row],[Unit_Cost]]</f>
        <v>2320</v>
      </c>
      <c r="Q364" s="15">
        <f>Bike_Sales[[#This Row],[Total Sales]]-Bike_Sales[[#This Row],[Total Cost]]</f>
        <v>1360</v>
      </c>
      <c r="R364" s="17">
        <f>Bike_Sales[[#This Row],[Profit]]/Bike_Sales[[#This Row],[Total Sales]]</f>
        <v>0.36956521739130432</v>
      </c>
      <c r="S364" s="16" t="str">
        <f t="shared" si="5"/>
        <v>25-34</v>
      </c>
    </row>
    <row r="365" spans="1:19" x14ac:dyDescent="0.35">
      <c r="A365" s="2">
        <v>44505</v>
      </c>
      <c r="B365" s="2" t="str">
        <f>TEXT(Bike_Sales[[#This Row],[Date]],"mmmm")</f>
        <v>November</v>
      </c>
      <c r="C365" s="19">
        <f>MONTH(Bike_Sales[[#This Row],[Date]])</f>
        <v>11</v>
      </c>
      <c r="D365" s="2" t="str">
        <f>TEXT(Bike_Sales[[#This Row],[Date]],"dddd")</f>
        <v>Friday</v>
      </c>
      <c r="E365" s="3">
        <v>34</v>
      </c>
      <c r="F365" s="3" t="s">
        <v>135</v>
      </c>
      <c r="G365" s="3" t="s">
        <v>33</v>
      </c>
      <c r="H365" s="3" t="s">
        <v>73</v>
      </c>
      <c r="I365" s="3" t="s">
        <v>11</v>
      </c>
      <c r="J365" s="3" t="s">
        <v>101</v>
      </c>
      <c r="K365" s="3" t="s">
        <v>32</v>
      </c>
      <c r="L365" s="4">
        <v>1</v>
      </c>
      <c r="M365" s="3">
        <v>700</v>
      </c>
      <c r="N365" s="3">
        <v>1100</v>
      </c>
      <c r="O365" s="15">
        <f>Bike_Sales[[#This Row],[Order_Quantity]]*Bike_Sales[[#This Row],[Unit_Price]]</f>
        <v>1100</v>
      </c>
      <c r="P365" s="15">
        <f>Bike_Sales[[#This Row],[Order_Quantity]]*Bike_Sales[[#This Row],[Unit_Cost]]</f>
        <v>700</v>
      </c>
      <c r="Q365" s="15">
        <f>Bike_Sales[[#This Row],[Total Sales]]-Bike_Sales[[#This Row],[Total Cost]]</f>
        <v>400</v>
      </c>
      <c r="R365" s="17">
        <f>Bike_Sales[[#This Row],[Profit]]/Bike_Sales[[#This Row],[Total Sales]]</f>
        <v>0.36363636363636365</v>
      </c>
      <c r="S365" s="16" t="str">
        <f t="shared" si="5"/>
        <v>25-34</v>
      </c>
    </row>
    <row r="366" spans="1:19" x14ac:dyDescent="0.35">
      <c r="A366" s="2">
        <v>44510</v>
      </c>
      <c r="B366" s="2" t="str">
        <f>TEXT(Bike_Sales[[#This Row],[Date]],"mmmm")</f>
        <v>November</v>
      </c>
      <c r="C366" s="19">
        <f>MONTH(Bike_Sales[[#This Row],[Date]])</f>
        <v>11</v>
      </c>
      <c r="D366" s="2" t="str">
        <f>TEXT(Bike_Sales[[#This Row],[Date]],"dddd")</f>
        <v>Wednesday</v>
      </c>
      <c r="E366" s="3">
        <v>34</v>
      </c>
      <c r="F366" s="3" t="s">
        <v>126</v>
      </c>
      <c r="G366" s="3" t="s">
        <v>33</v>
      </c>
      <c r="H366" s="3" t="s">
        <v>136</v>
      </c>
      <c r="I366" s="3" t="s">
        <v>16</v>
      </c>
      <c r="J366" s="3" t="s">
        <v>103</v>
      </c>
      <c r="K366" s="3" t="s">
        <v>83</v>
      </c>
      <c r="L366" s="4">
        <v>1</v>
      </c>
      <c r="M366" s="3">
        <v>450</v>
      </c>
      <c r="N366" s="3">
        <v>720</v>
      </c>
      <c r="O366" s="15">
        <f>Bike_Sales[[#This Row],[Order_Quantity]]*Bike_Sales[[#This Row],[Unit_Price]]</f>
        <v>720</v>
      </c>
      <c r="P366" s="15">
        <f>Bike_Sales[[#This Row],[Order_Quantity]]*Bike_Sales[[#This Row],[Unit_Cost]]</f>
        <v>450</v>
      </c>
      <c r="Q366" s="15">
        <f>Bike_Sales[[#This Row],[Total Sales]]-Bike_Sales[[#This Row],[Total Cost]]</f>
        <v>270</v>
      </c>
      <c r="R366" s="17">
        <f>Bike_Sales[[#This Row],[Profit]]/Bike_Sales[[#This Row],[Total Sales]]</f>
        <v>0.375</v>
      </c>
      <c r="S366" s="16" t="str">
        <f t="shared" si="5"/>
        <v>25-34</v>
      </c>
    </row>
    <row r="367" spans="1:19" x14ac:dyDescent="0.35">
      <c r="A367" s="2">
        <v>44511</v>
      </c>
      <c r="B367" s="2" t="str">
        <f>TEXT(Bike_Sales[[#This Row],[Date]],"mmmm")</f>
        <v>November</v>
      </c>
      <c r="C367" s="19">
        <f>MONTH(Bike_Sales[[#This Row],[Date]])</f>
        <v>11</v>
      </c>
      <c r="D367" s="2" t="str">
        <f>TEXT(Bike_Sales[[#This Row],[Date]],"dddd")</f>
        <v>Thursday</v>
      </c>
      <c r="E367" s="3">
        <v>34</v>
      </c>
      <c r="F367" s="3" t="s">
        <v>135</v>
      </c>
      <c r="G367" s="3" t="s">
        <v>33</v>
      </c>
      <c r="H367" s="3" t="s">
        <v>128</v>
      </c>
      <c r="I367" s="3" t="s">
        <v>11</v>
      </c>
      <c r="J367" s="3" t="s">
        <v>104</v>
      </c>
      <c r="K367" s="3" t="s">
        <v>20</v>
      </c>
      <c r="L367" s="4">
        <v>4</v>
      </c>
      <c r="M367" s="3">
        <v>530</v>
      </c>
      <c r="N367" s="3">
        <v>840</v>
      </c>
      <c r="O367" s="15">
        <f>Bike_Sales[[#This Row],[Order_Quantity]]*Bike_Sales[[#This Row],[Unit_Price]]</f>
        <v>3360</v>
      </c>
      <c r="P367" s="15">
        <f>Bike_Sales[[#This Row],[Order_Quantity]]*Bike_Sales[[#This Row],[Unit_Cost]]</f>
        <v>2120</v>
      </c>
      <c r="Q367" s="15">
        <f>Bike_Sales[[#This Row],[Total Sales]]-Bike_Sales[[#This Row],[Total Cost]]</f>
        <v>1240</v>
      </c>
      <c r="R367" s="17">
        <f>Bike_Sales[[#This Row],[Profit]]/Bike_Sales[[#This Row],[Total Sales]]</f>
        <v>0.36904761904761907</v>
      </c>
      <c r="S367" s="16" t="str">
        <f t="shared" si="5"/>
        <v>25-34</v>
      </c>
    </row>
    <row r="368" spans="1:19" x14ac:dyDescent="0.35">
      <c r="A368" s="2">
        <v>44515</v>
      </c>
      <c r="B368" s="2" t="str">
        <f>TEXT(Bike_Sales[[#This Row],[Date]],"mmmm")</f>
        <v>November</v>
      </c>
      <c r="C368" s="19">
        <f>MONTH(Bike_Sales[[#This Row],[Date]])</f>
        <v>11</v>
      </c>
      <c r="D368" s="2" t="str">
        <f>TEXT(Bike_Sales[[#This Row],[Date]],"dddd")</f>
        <v>Monday</v>
      </c>
      <c r="E368" s="3">
        <v>34</v>
      </c>
      <c r="F368" s="3" t="s">
        <v>135</v>
      </c>
      <c r="G368" s="3" t="s">
        <v>9</v>
      </c>
      <c r="H368" s="3" t="s">
        <v>10</v>
      </c>
      <c r="I368" s="3" t="s">
        <v>11</v>
      </c>
      <c r="J368" s="3" t="s">
        <v>101</v>
      </c>
      <c r="K368" s="3" t="s">
        <v>46</v>
      </c>
      <c r="L368" s="4">
        <v>1</v>
      </c>
      <c r="M368" s="3">
        <v>580</v>
      </c>
      <c r="N368" s="3">
        <v>920</v>
      </c>
      <c r="O368" s="15">
        <f>Bike_Sales[[#This Row],[Order_Quantity]]*Bike_Sales[[#This Row],[Unit_Price]]</f>
        <v>920</v>
      </c>
      <c r="P368" s="15">
        <f>Bike_Sales[[#This Row],[Order_Quantity]]*Bike_Sales[[#This Row],[Unit_Cost]]</f>
        <v>580</v>
      </c>
      <c r="Q368" s="15">
        <f>Bike_Sales[[#This Row],[Total Sales]]-Bike_Sales[[#This Row],[Total Cost]]</f>
        <v>340</v>
      </c>
      <c r="R368" s="17">
        <f>Bike_Sales[[#This Row],[Profit]]/Bike_Sales[[#This Row],[Total Sales]]</f>
        <v>0.36956521739130432</v>
      </c>
      <c r="S368" s="16" t="str">
        <f t="shared" si="5"/>
        <v>25-34</v>
      </c>
    </row>
    <row r="369" spans="1:19" x14ac:dyDescent="0.35">
      <c r="A369" s="2">
        <v>44517</v>
      </c>
      <c r="B369" s="2" t="str">
        <f>TEXT(Bike_Sales[[#This Row],[Date]],"mmmm")</f>
        <v>November</v>
      </c>
      <c r="C369" s="19">
        <f>MONTH(Bike_Sales[[#This Row],[Date]])</f>
        <v>11</v>
      </c>
      <c r="D369" s="2" t="str">
        <f>TEXT(Bike_Sales[[#This Row],[Date]],"dddd")</f>
        <v>Wednesday</v>
      </c>
      <c r="E369" s="3">
        <v>34</v>
      </c>
      <c r="F369" s="3" t="s">
        <v>135</v>
      </c>
      <c r="G369" s="3" t="s">
        <v>33</v>
      </c>
      <c r="H369" s="3" t="s">
        <v>73</v>
      </c>
      <c r="I369" s="3" t="s">
        <v>11</v>
      </c>
      <c r="J369" s="3" t="s">
        <v>101</v>
      </c>
      <c r="K369" s="3" t="s">
        <v>32</v>
      </c>
      <c r="L369" s="4">
        <v>1</v>
      </c>
      <c r="M369" s="3">
        <v>700</v>
      </c>
      <c r="N369" s="3">
        <v>1100</v>
      </c>
      <c r="O369" s="15">
        <f>Bike_Sales[[#This Row],[Order_Quantity]]*Bike_Sales[[#This Row],[Unit_Price]]</f>
        <v>1100</v>
      </c>
      <c r="P369" s="15">
        <f>Bike_Sales[[#This Row],[Order_Quantity]]*Bike_Sales[[#This Row],[Unit_Cost]]</f>
        <v>700</v>
      </c>
      <c r="Q369" s="15">
        <f>Bike_Sales[[#This Row],[Total Sales]]-Bike_Sales[[#This Row],[Total Cost]]</f>
        <v>400</v>
      </c>
      <c r="R369" s="17">
        <f>Bike_Sales[[#This Row],[Profit]]/Bike_Sales[[#This Row],[Total Sales]]</f>
        <v>0.36363636363636365</v>
      </c>
      <c r="S369" s="16" t="str">
        <f t="shared" si="5"/>
        <v>25-34</v>
      </c>
    </row>
    <row r="370" spans="1:19" x14ac:dyDescent="0.35">
      <c r="A370" s="2">
        <v>44524</v>
      </c>
      <c r="B370" s="2" t="str">
        <f>TEXT(Bike_Sales[[#This Row],[Date]],"mmmm")</f>
        <v>November</v>
      </c>
      <c r="C370" s="19">
        <f>MONTH(Bike_Sales[[#This Row],[Date]])</f>
        <v>11</v>
      </c>
      <c r="D370" s="2" t="str">
        <f>TEXT(Bike_Sales[[#This Row],[Date]],"dddd")</f>
        <v>Wednesday</v>
      </c>
      <c r="E370" s="3">
        <v>34</v>
      </c>
      <c r="F370" s="3" t="s">
        <v>135</v>
      </c>
      <c r="G370" s="3" t="s">
        <v>39</v>
      </c>
      <c r="H370" s="3" t="s">
        <v>42</v>
      </c>
      <c r="I370" s="3" t="s">
        <v>11</v>
      </c>
      <c r="J370" s="3" t="s">
        <v>102</v>
      </c>
      <c r="K370" s="3" t="s">
        <v>47</v>
      </c>
      <c r="L370" s="4">
        <v>3</v>
      </c>
      <c r="M370" s="3">
        <v>900</v>
      </c>
      <c r="N370" s="3">
        <v>1400</v>
      </c>
      <c r="O370" s="15">
        <f>Bike_Sales[[#This Row],[Order_Quantity]]*Bike_Sales[[#This Row],[Unit_Price]]</f>
        <v>4200</v>
      </c>
      <c r="P370" s="15">
        <f>Bike_Sales[[#This Row],[Order_Quantity]]*Bike_Sales[[#This Row],[Unit_Cost]]</f>
        <v>2700</v>
      </c>
      <c r="Q370" s="15">
        <f>Bike_Sales[[#This Row],[Total Sales]]-Bike_Sales[[#This Row],[Total Cost]]</f>
        <v>1500</v>
      </c>
      <c r="R370" s="17">
        <f>Bike_Sales[[#This Row],[Profit]]/Bike_Sales[[#This Row],[Total Sales]]</f>
        <v>0.35714285714285715</v>
      </c>
      <c r="S370" s="16" t="str">
        <f t="shared" si="5"/>
        <v>25-34</v>
      </c>
    </row>
    <row r="371" spans="1:19" x14ac:dyDescent="0.35">
      <c r="A371" s="2">
        <v>44531</v>
      </c>
      <c r="B371" s="2" t="str">
        <f>TEXT(Bike_Sales[[#This Row],[Date]],"mmmm")</f>
        <v>December</v>
      </c>
      <c r="C371" s="19">
        <f>MONTH(Bike_Sales[[#This Row],[Date]])</f>
        <v>12</v>
      </c>
      <c r="D371" s="2" t="str">
        <f>TEXT(Bike_Sales[[#This Row],[Date]],"dddd")</f>
        <v>Wednesday</v>
      </c>
      <c r="E371" s="3">
        <v>34</v>
      </c>
      <c r="F371" s="3" t="s">
        <v>126</v>
      </c>
      <c r="G371" s="3" t="s">
        <v>18</v>
      </c>
      <c r="H371" s="3" t="s">
        <v>24</v>
      </c>
      <c r="I371" s="3" t="s">
        <v>11</v>
      </c>
      <c r="J371" s="3" t="s">
        <v>104</v>
      </c>
      <c r="K371" s="3" t="s">
        <v>52</v>
      </c>
      <c r="L371" s="4">
        <v>1</v>
      </c>
      <c r="M371" s="3">
        <v>530</v>
      </c>
      <c r="N371" s="3">
        <v>840</v>
      </c>
      <c r="O371" s="15">
        <f>Bike_Sales[[#This Row],[Order_Quantity]]*Bike_Sales[[#This Row],[Unit_Price]]</f>
        <v>840</v>
      </c>
      <c r="P371" s="15">
        <f>Bike_Sales[[#This Row],[Order_Quantity]]*Bike_Sales[[#This Row],[Unit_Cost]]</f>
        <v>530</v>
      </c>
      <c r="Q371" s="15">
        <f>Bike_Sales[[#This Row],[Total Sales]]-Bike_Sales[[#This Row],[Total Cost]]</f>
        <v>310</v>
      </c>
      <c r="R371" s="17">
        <f>Bike_Sales[[#This Row],[Profit]]/Bike_Sales[[#This Row],[Total Sales]]</f>
        <v>0.36904761904761907</v>
      </c>
      <c r="S371" s="16" t="str">
        <f t="shared" si="5"/>
        <v>25-34</v>
      </c>
    </row>
    <row r="372" spans="1:19" x14ac:dyDescent="0.35">
      <c r="A372" s="2">
        <v>44533</v>
      </c>
      <c r="B372" s="2" t="str">
        <f>TEXT(Bike_Sales[[#This Row],[Date]],"mmmm")</f>
        <v>December</v>
      </c>
      <c r="C372" s="19">
        <f>MONTH(Bike_Sales[[#This Row],[Date]])</f>
        <v>12</v>
      </c>
      <c r="D372" s="2" t="str">
        <f>TEXT(Bike_Sales[[#This Row],[Date]],"dddd")</f>
        <v>Friday</v>
      </c>
      <c r="E372" s="3">
        <v>34</v>
      </c>
      <c r="F372" s="3" t="s">
        <v>135</v>
      </c>
      <c r="G372" s="3" t="s">
        <v>39</v>
      </c>
      <c r="H372" s="3" t="s">
        <v>80</v>
      </c>
      <c r="I372" s="3" t="s">
        <v>11</v>
      </c>
      <c r="J372" s="3" t="s">
        <v>102</v>
      </c>
      <c r="K372" s="3" t="s">
        <v>47</v>
      </c>
      <c r="L372" s="4">
        <v>3</v>
      </c>
      <c r="M372" s="3">
        <v>900</v>
      </c>
      <c r="N372" s="3">
        <v>1400</v>
      </c>
      <c r="O372" s="15">
        <f>Bike_Sales[[#This Row],[Order_Quantity]]*Bike_Sales[[#This Row],[Unit_Price]]</f>
        <v>4200</v>
      </c>
      <c r="P372" s="15">
        <f>Bike_Sales[[#This Row],[Order_Quantity]]*Bike_Sales[[#This Row],[Unit_Cost]]</f>
        <v>2700</v>
      </c>
      <c r="Q372" s="15">
        <f>Bike_Sales[[#This Row],[Total Sales]]-Bike_Sales[[#This Row],[Total Cost]]</f>
        <v>1500</v>
      </c>
      <c r="R372" s="17">
        <f>Bike_Sales[[#This Row],[Profit]]/Bike_Sales[[#This Row],[Total Sales]]</f>
        <v>0.35714285714285715</v>
      </c>
      <c r="S372" s="16" t="str">
        <f t="shared" si="5"/>
        <v>25-34</v>
      </c>
    </row>
    <row r="373" spans="1:19" x14ac:dyDescent="0.35">
      <c r="A373" s="2">
        <v>44533</v>
      </c>
      <c r="B373" s="2" t="str">
        <f>TEXT(Bike_Sales[[#This Row],[Date]],"mmmm")</f>
        <v>December</v>
      </c>
      <c r="C373" s="19">
        <f>MONTH(Bike_Sales[[#This Row],[Date]])</f>
        <v>12</v>
      </c>
      <c r="D373" s="2" t="str">
        <f>TEXT(Bike_Sales[[#This Row],[Date]],"dddd")</f>
        <v>Friday</v>
      </c>
      <c r="E373" s="3">
        <v>34</v>
      </c>
      <c r="F373" s="3" t="s">
        <v>135</v>
      </c>
      <c r="G373" s="3" t="s">
        <v>18</v>
      </c>
      <c r="H373" s="3" t="s">
        <v>63</v>
      </c>
      <c r="I373" s="3" t="s">
        <v>11</v>
      </c>
      <c r="J373" s="3" t="s">
        <v>104</v>
      </c>
      <c r="K373" s="3" t="s">
        <v>12</v>
      </c>
      <c r="L373" s="4">
        <v>2</v>
      </c>
      <c r="M373" s="3">
        <v>500</v>
      </c>
      <c r="N373" s="3">
        <v>800</v>
      </c>
      <c r="O373" s="15">
        <f>Bike_Sales[[#This Row],[Order_Quantity]]*Bike_Sales[[#This Row],[Unit_Price]]</f>
        <v>1600</v>
      </c>
      <c r="P373" s="15">
        <f>Bike_Sales[[#This Row],[Order_Quantity]]*Bike_Sales[[#This Row],[Unit_Cost]]</f>
        <v>1000</v>
      </c>
      <c r="Q373" s="15">
        <f>Bike_Sales[[#This Row],[Total Sales]]-Bike_Sales[[#This Row],[Total Cost]]</f>
        <v>600</v>
      </c>
      <c r="R373" s="17">
        <f>Bike_Sales[[#This Row],[Profit]]/Bike_Sales[[#This Row],[Total Sales]]</f>
        <v>0.375</v>
      </c>
      <c r="S373" s="16" t="str">
        <f t="shared" si="5"/>
        <v>25-34</v>
      </c>
    </row>
    <row r="374" spans="1:19" x14ac:dyDescent="0.35">
      <c r="A374" s="2">
        <v>44533</v>
      </c>
      <c r="B374" s="2" t="str">
        <f>TEXT(Bike_Sales[[#This Row],[Date]],"mmmm")</f>
        <v>December</v>
      </c>
      <c r="C374" s="19">
        <f>MONTH(Bike_Sales[[#This Row],[Date]])</f>
        <v>12</v>
      </c>
      <c r="D374" s="2" t="str">
        <f>TEXT(Bike_Sales[[#This Row],[Date]],"dddd")</f>
        <v>Friday</v>
      </c>
      <c r="E374" s="3">
        <v>34</v>
      </c>
      <c r="F374" s="3" t="s">
        <v>135</v>
      </c>
      <c r="G374" s="3" t="s">
        <v>129</v>
      </c>
      <c r="H374" s="3" t="s">
        <v>15</v>
      </c>
      <c r="I374" s="3" t="s">
        <v>11</v>
      </c>
      <c r="J374" s="3" t="s">
        <v>104</v>
      </c>
      <c r="K374" s="3" t="s">
        <v>27</v>
      </c>
      <c r="L374" s="4">
        <v>1</v>
      </c>
      <c r="M374" s="3">
        <v>530</v>
      </c>
      <c r="N374" s="3">
        <v>840</v>
      </c>
      <c r="O374" s="15">
        <f>Bike_Sales[[#This Row],[Order_Quantity]]*Bike_Sales[[#This Row],[Unit_Price]]</f>
        <v>840</v>
      </c>
      <c r="P374" s="15">
        <f>Bike_Sales[[#This Row],[Order_Quantity]]*Bike_Sales[[#This Row],[Unit_Cost]]</f>
        <v>530</v>
      </c>
      <c r="Q374" s="15">
        <f>Bike_Sales[[#This Row],[Total Sales]]-Bike_Sales[[#This Row],[Total Cost]]</f>
        <v>310</v>
      </c>
      <c r="R374" s="17">
        <f>Bike_Sales[[#This Row],[Profit]]/Bike_Sales[[#This Row],[Total Sales]]</f>
        <v>0.36904761904761907</v>
      </c>
      <c r="S374" s="16" t="str">
        <f t="shared" si="5"/>
        <v>25-34</v>
      </c>
    </row>
    <row r="375" spans="1:19" x14ac:dyDescent="0.35">
      <c r="A375" s="2">
        <v>44539</v>
      </c>
      <c r="B375" s="2" t="str">
        <f>TEXT(Bike_Sales[[#This Row],[Date]],"mmmm")</f>
        <v>December</v>
      </c>
      <c r="C375" s="19">
        <f>MONTH(Bike_Sales[[#This Row],[Date]])</f>
        <v>12</v>
      </c>
      <c r="D375" s="2" t="str">
        <f>TEXT(Bike_Sales[[#This Row],[Date]],"dddd")</f>
        <v>Thursday</v>
      </c>
      <c r="E375" s="3">
        <v>34</v>
      </c>
      <c r="F375" s="3" t="s">
        <v>126</v>
      </c>
      <c r="G375" s="3" t="s">
        <v>18</v>
      </c>
      <c r="H375" s="3" t="s">
        <v>19</v>
      </c>
      <c r="I375" s="3" t="s">
        <v>11</v>
      </c>
      <c r="J375" s="3" t="s">
        <v>101</v>
      </c>
      <c r="K375" s="3" t="s">
        <v>41</v>
      </c>
      <c r="L375" s="4">
        <v>2</v>
      </c>
      <c r="M375" s="3">
        <v>580</v>
      </c>
      <c r="N375" s="3">
        <v>920</v>
      </c>
      <c r="O375" s="15">
        <f>Bike_Sales[[#This Row],[Order_Quantity]]*Bike_Sales[[#This Row],[Unit_Price]]</f>
        <v>1840</v>
      </c>
      <c r="P375" s="15">
        <f>Bike_Sales[[#This Row],[Order_Quantity]]*Bike_Sales[[#This Row],[Unit_Cost]]</f>
        <v>1160</v>
      </c>
      <c r="Q375" s="15">
        <f>Bike_Sales[[#This Row],[Total Sales]]-Bike_Sales[[#This Row],[Total Cost]]</f>
        <v>680</v>
      </c>
      <c r="R375" s="17">
        <f>Bike_Sales[[#This Row],[Profit]]/Bike_Sales[[#This Row],[Total Sales]]</f>
        <v>0.36956521739130432</v>
      </c>
      <c r="S375" s="16" t="str">
        <f t="shared" si="5"/>
        <v>25-34</v>
      </c>
    </row>
    <row r="376" spans="1:19" x14ac:dyDescent="0.35">
      <c r="A376" s="2">
        <v>44540</v>
      </c>
      <c r="B376" s="2" t="str">
        <f>TEXT(Bike_Sales[[#This Row],[Date]],"mmmm")</f>
        <v>December</v>
      </c>
      <c r="C376" s="19">
        <f>MONTH(Bike_Sales[[#This Row],[Date]])</f>
        <v>12</v>
      </c>
      <c r="D376" s="2" t="str">
        <f>TEXT(Bike_Sales[[#This Row],[Date]],"dddd")</f>
        <v>Friday</v>
      </c>
      <c r="E376" s="3">
        <v>34</v>
      </c>
      <c r="F376" s="3" t="s">
        <v>126</v>
      </c>
      <c r="G376" s="3" t="s">
        <v>129</v>
      </c>
      <c r="H376" s="3" t="s">
        <v>15</v>
      </c>
      <c r="I376" s="3" t="s">
        <v>11</v>
      </c>
      <c r="J376" s="3" t="s">
        <v>104</v>
      </c>
      <c r="K376" s="3" t="s">
        <v>77</v>
      </c>
      <c r="L376" s="4">
        <v>3</v>
      </c>
      <c r="M376" s="3">
        <v>500</v>
      </c>
      <c r="N376" s="3">
        <v>800</v>
      </c>
      <c r="O376" s="15">
        <f>Bike_Sales[[#This Row],[Order_Quantity]]*Bike_Sales[[#This Row],[Unit_Price]]</f>
        <v>2400</v>
      </c>
      <c r="P376" s="15">
        <f>Bike_Sales[[#This Row],[Order_Quantity]]*Bike_Sales[[#This Row],[Unit_Cost]]</f>
        <v>1500</v>
      </c>
      <c r="Q376" s="15">
        <f>Bike_Sales[[#This Row],[Total Sales]]-Bike_Sales[[#This Row],[Total Cost]]</f>
        <v>900</v>
      </c>
      <c r="R376" s="17">
        <f>Bike_Sales[[#This Row],[Profit]]/Bike_Sales[[#This Row],[Total Sales]]</f>
        <v>0.375</v>
      </c>
      <c r="S376" s="16" t="str">
        <f t="shared" si="5"/>
        <v>25-34</v>
      </c>
    </row>
    <row r="377" spans="1:19" x14ac:dyDescent="0.35">
      <c r="A377" s="2">
        <v>44540</v>
      </c>
      <c r="B377" s="2" t="str">
        <f>TEXT(Bike_Sales[[#This Row],[Date]],"mmmm")</f>
        <v>December</v>
      </c>
      <c r="C377" s="19">
        <f>MONTH(Bike_Sales[[#This Row],[Date]])</f>
        <v>12</v>
      </c>
      <c r="D377" s="2" t="str">
        <f>TEXT(Bike_Sales[[#This Row],[Date]],"dddd")</f>
        <v>Friday</v>
      </c>
      <c r="E377" s="3">
        <v>34</v>
      </c>
      <c r="F377" s="3" t="s">
        <v>135</v>
      </c>
      <c r="G377" s="3" t="s">
        <v>9</v>
      </c>
      <c r="H377" s="3" t="s">
        <v>10</v>
      </c>
      <c r="I377" s="3" t="s">
        <v>16</v>
      </c>
      <c r="J377" s="3" t="s">
        <v>101</v>
      </c>
      <c r="K377" s="3" t="s">
        <v>25</v>
      </c>
      <c r="L377" s="4">
        <v>2</v>
      </c>
      <c r="M377" s="3">
        <v>550</v>
      </c>
      <c r="N377" s="3">
        <v>850</v>
      </c>
      <c r="O377" s="15">
        <f>Bike_Sales[[#This Row],[Order_Quantity]]*Bike_Sales[[#This Row],[Unit_Price]]</f>
        <v>1700</v>
      </c>
      <c r="P377" s="15">
        <f>Bike_Sales[[#This Row],[Order_Quantity]]*Bike_Sales[[#This Row],[Unit_Cost]]</f>
        <v>1100</v>
      </c>
      <c r="Q377" s="15">
        <f>Bike_Sales[[#This Row],[Total Sales]]-Bike_Sales[[#This Row],[Total Cost]]</f>
        <v>600</v>
      </c>
      <c r="R377" s="17">
        <f>Bike_Sales[[#This Row],[Profit]]/Bike_Sales[[#This Row],[Total Sales]]</f>
        <v>0.35294117647058826</v>
      </c>
      <c r="S377" s="16" t="str">
        <f t="shared" si="5"/>
        <v>25-34</v>
      </c>
    </row>
    <row r="378" spans="1:19" x14ac:dyDescent="0.35">
      <c r="A378" s="2">
        <v>44540</v>
      </c>
      <c r="B378" s="2" t="str">
        <f>TEXT(Bike_Sales[[#This Row],[Date]],"mmmm")</f>
        <v>December</v>
      </c>
      <c r="C378" s="19">
        <f>MONTH(Bike_Sales[[#This Row],[Date]])</f>
        <v>12</v>
      </c>
      <c r="D378" s="2" t="str">
        <f>TEXT(Bike_Sales[[#This Row],[Date]],"dddd")</f>
        <v>Friday</v>
      </c>
      <c r="E378" s="3">
        <v>34</v>
      </c>
      <c r="F378" s="3" t="s">
        <v>126</v>
      </c>
      <c r="G378" s="3" t="s">
        <v>9</v>
      </c>
      <c r="H378" s="3" t="s">
        <v>10</v>
      </c>
      <c r="I378" s="3" t="s">
        <v>16</v>
      </c>
      <c r="J378" s="3" t="s">
        <v>101</v>
      </c>
      <c r="K378" s="3" t="s">
        <v>94</v>
      </c>
      <c r="L378" s="4">
        <v>1</v>
      </c>
      <c r="M378" s="3">
        <v>480</v>
      </c>
      <c r="N378" s="3">
        <v>760</v>
      </c>
      <c r="O378" s="15">
        <f>Bike_Sales[[#This Row],[Order_Quantity]]*Bike_Sales[[#This Row],[Unit_Price]]</f>
        <v>760</v>
      </c>
      <c r="P378" s="15">
        <f>Bike_Sales[[#This Row],[Order_Quantity]]*Bike_Sales[[#This Row],[Unit_Cost]]</f>
        <v>480</v>
      </c>
      <c r="Q378" s="15">
        <f>Bike_Sales[[#This Row],[Total Sales]]-Bike_Sales[[#This Row],[Total Cost]]</f>
        <v>280</v>
      </c>
      <c r="R378" s="17">
        <f>Bike_Sales[[#This Row],[Profit]]/Bike_Sales[[#This Row],[Total Sales]]</f>
        <v>0.36842105263157893</v>
      </c>
      <c r="S378" s="16" t="str">
        <f t="shared" si="5"/>
        <v>25-34</v>
      </c>
    </row>
    <row r="379" spans="1:19" x14ac:dyDescent="0.35">
      <c r="A379" s="2">
        <v>44540</v>
      </c>
      <c r="B379" s="2" t="str">
        <f>TEXT(Bike_Sales[[#This Row],[Date]],"mmmm")</f>
        <v>December</v>
      </c>
      <c r="C379" s="19">
        <f>MONTH(Bike_Sales[[#This Row],[Date]])</f>
        <v>12</v>
      </c>
      <c r="D379" s="2" t="str">
        <f>TEXT(Bike_Sales[[#This Row],[Date]],"dddd")</f>
        <v>Friday</v>
      </c>
      <c r="E379" s="3">
        <v>34</v>
      </c>
      <c r="F379" s="3" t="s">
        <v>135</v>
      </c>
      <c r="G379" s="3" t="s">
        <v>9</v>
      </c>
      <c r="H379" s="3" t="s">
        <v>37</v>
      </c>
      <c r="I379" s="3" t="s">
        <v>16</v>
      </c>
      <c r="J379" s="3" t="s">
        <v>103</v>
      </c>
      <c r="K379" s="3" t="s">
        <v>95</v>
      </c>
      <c r="L379" s="4">
        <v>1</v>
      </c>
      <c r="M379" s="3">
        <v>400</v>
      </c>
      <c r="N379" s="3">
        <v>650</v>
      </c>
      <c r="O379" s="15">
        <f>Bike_Sales[[#This Row],[Order_Quantity]]*Bike_Sales[[#This Row],[Unit_Price]]</f>
        <v>650</v>
      </c>
      <c r="P379" s="15">
        <f>Bike_Sales[[#This Row],[Order_Quantity]]*Bike_Sales[[#This Row],[Unit_Cost]]</f>
        <v>400</v>
      </c>
      <c r="Q379" s="15">
        <f>Bike_Sales[[#This Row],[Total Sales]]-Bike_Sales[[#This Row],[Total Cost]]</f>
        <v>250</v>
      </c>
      <c r="R379" s="17">
        <f>Bike_Sales[[#This Row],[Profit]]/Bike_Sales[[#This Row],[Total Sales]]</f>
        <v>0.38461538461538464</v>
      </c>
      <c r="S379" s="16" t="str">
        <f t="shared" si="5"/>
        <v>25-34</v>
      </c>
    </row>
    <row r="380" spans="1:19" x14ac:dyDescent="0.35">
      <c r="A380" s="2">
        <v>44542</v>
      </c>
      <c r="B380" s="2" t="str">
        <f>TEXT(Bike_Sales[[#This Row],[Date]],"mmmm")</f>
        <v>December</v>
      </c>
      <c r="C380" s="19">
        <f>MONTH(Bike_Sales[[#This Row],[Date]])</f>
        <v>12</v>
      </c>
      <c r="D380" s="2" t="str">
        <f>TEXT(Bike_Sales[[#This Row],[Date]],"dddd")</f>
        <v>Sunday</v>
      </c>
      <c r="E380" s="3">
        <v>34</v>
      </c>
      <c r="F380" s="3" t="s">
        <v>126</v>
      </c>
      <c r="G380" s="3" t="s">
        <v>18</v>
      </c>
      <c r="H380" s="3" t="s">
        <v>24</v>
      </c>
      <c r="I380" s="3" t="s">
        <v>16</v>
      </c>
      <c r="J380" s="3" t="s">
        <v>101</v>
      </c>
      <c r="K380" s="3" t="s">
        <v>17</v>
      </c>
      <c r="L380" s="4">
        <v>2</v>
      </c>
      <c r="M380" s="3">
        <v>550</v>
      </c>
      <c r="N380" s="3">
        <v>850</v>
      </c>
      <c r="O380" s="15">
        <f>Bike_Sales[[#This Row],[Order_Quantity]]*Bike_Sales[[#This Row],[Unit_Price]]</f>
        <v>1700</v>
      </c>
      <c r="P380" s="15">
        <f>Bike_Sales[[#This Row],[Order_Quantity]]*Bike_Sales[[#This Row],[Unit_Cost]]</f>
        <v>1100</v>
      </c>
      <c r="Q380" s="15">
        <f>Bike_Sales[[#This Row],[Total Sales]]-Bike_Sales[[#This Row],[Total Cost]]</f>
        <v>600</v>
      </c>
      <c r="R380" s="17">
        <f>Bike_Sales[[#This Row],[Profit]]/Bike_Sales[[#This Row],[Total Sales]]</f>
        <v>0.35294117647058826</v>
      </c>
      <c r="S380" s="16" t="str">
        <f t="shared" si="5"/>
        <v>25-34</v>
      </c>
    </row>
    <row r="381" spans="1:19" x14ac:dyDescent="0.35">
      <c r="A381" s="2">
        <v>44542</v>
      </c>
      <c r="B381" s="2" t="str">
        <f>TEXT(Bike_Sales[[#This Row],[Date]],"mmmm")</f>
        <v>December</v>
      </c>
      <c r="C381" s="19">
        <f>MONTH(Bike_Sales[[#This Row],[Date]])</f>
        <v>12</v>
      </c>
      <c r="D381" s="2" t="str">
        <f>TEXT(Bike_Sales[[#This Row],[Date]],"dddd")</f>
        <v>Sunday</v>
      </c>
      <c r="E381" s="3">
        <v>34</v>
      </c>
      <c r="F381" s="3" t="s">
        <v>126</v>
      </c>
      <c r="G381" s="3" t="s">
        <v>33</v>
      </c>
      <c r="H381" s="3" t="s">
        <v>56</v>
      </c>
      <c r="I381" s="3" t="s">
        <v>11</v>
      </c>
      <c r="J381" s="3" t="s">
        <v>102</v>
      </c>
      <c r="K381" s="3" t="s">
        <v>84</v>
      </c>
      <c r="L381" s="4">
        <v>1</v>
      </c>
      <c r="M381" s="3">
        <v>620</v>
      </c>
      <c r="N381" s="3">
        <v>980</v>
      </c>
      <c r="O381" s="15">
        <f>Bike_Sales[[#This Row],[Order_Quantity]]*Bike_Sales[[#This Row],[Unit_Price]]</f>
        <v>980</v>
      </c>
      <c r="P381" s="15">
        <f>Bike_Sales[[#This Row],[Order_Quantity]]*Bike_Sales[[#This Row],[Unit_Cost]]</f>
        <v>620</v>
      </c>
      <c r="Q381" s="15">
        <f>Bike_Sales[[#This Row],[Total Sales]]-Bike_Sales[[#This Row],[Total Cost]]</f>
        <v>360</v>
      </c>
      <c r="R381" s="17">
        <f>Bike_Sales[[#This Row],[Profit]]/Bike_Sales[[#This Row],[Total Sales]]</f>
        <v>0.36734693877551022</v>
      </c>
      <c r="S381" s="16" t="str">
        <f t="shared" si="5"/>
        <v>25-34</v>
      </c>
    </row>
    <row r="382" spans="1:19" x14ac:dyDescent="0.35">
      <c r="A382" s="2">
        <v>44550</v>
      </c>
      <c r="B382" s="2" t="str">
        <f>TEXT(Bike_Sales[[#This Row],[Date]],"mmmm")</f>
        <v>December</v>
      </c>
      <c r="C382" s="19">
        <f>MONTH(Bike_Sales[[#This Row],[Date]])</f>
        <v>12</v>
      </c>
      <c r="D382" s="2" t="str">
        <f>TEXT(Bike_Sales[[#This Row],[Date]],"dddd")</f>
        <v>Monday</v>
      </c>
      <c r="E382" s="3">
        <v>34</v>
      </c>
      <c r="F382" s="3" t="s">
        <v>135</v>
      </c>
      <c r="G382" s="3" t="s">
        <v>129</v>
      </c>
      <c r="H382" s="3" t="s">
        <v>15</v>
      </c>
      <c r="I382" s="3" t="s">
        <v>11</v>
      </c>
      <c r="J382" s="3" t="s">
        <v>104</v>
      </c>
      <c r="K382" s="3" t="s">
        <v>27</v>
      </c>
      <c r="L382" s="4">
        <v>4</v>
      </c>
      <c r="M382" s="3">
        <v>530</v>
      </c>
      <c r="N382" s="3">
        <v>840</v>
      </c>
      <c r="O382" s="15">
        <f>Bike_Sales[[#This Row],[Order_Quantity]]*Bike_Sales[[#This Row],[Unit_Price]]</f>
        <v>3360</v>
      </c>
      <c r="P382" s="15">
        <f>Bike_Sales[[#This Row],[Order_Quantity]]*Bike_Sales[[#This Row],[Unit_Cost]]</f>
        <v>2120</v>
      </c>
      <c r="Q382" s="15">
        <f>Bike_Sales[[#This Row],[Total Sales]]-Bike_Sales[[#This Row],[Total Cost]]</f>
        <v>1240</v>
      </c>
      <c r="R382" s="17">
        <f>Bike_Sales[[#This Row],[Profit]]/Bike_Sales[[#This Row],[Total Sales]]</f>
        <v>0.36904761904761907</v>
      </c>
      <c r="S382" s="16" t="str">
        <f t="shared" si="5"/>
        <v>25-34</v>
      </c>
    </row>
    <row r="383" spans="1:19" x14ac:dyDescent="0.35">
      <c r="A383" s="2">
        <v>44553</v>
      </c>
      <c r="B383" s="2" t="str">
        <f>TEXT(Bike_Sales[[#This Row],[Date]],"mmmm")</f>
        <v>December</v>
      </c>
      <c r="C383" s="19">
        <f>MONTH(Bike_Sales[[#This Row],[Date]])</f>
        <v>12</v>
      </c>
      <c r="D383" s="2" t="str">
        <f>TEXT(Bike_Sales[[#This Row],[Date]],"dddd")</f>
        <v>Thursday</v>
      </c>
      <c r="E383" s="3">
        <v>34</v>
      </c>
      <c r="F383" s="3" t="s">
        <v>126</v>
      </c>
      <c r="G383" s="3" t="s">
        <v>18</v>
      </c>
      <c r="H383" s="3" t="s">
        <v>19</v>
      </c>
      <c r="I383" s="3" t="s">
        <v>11</v>
      </c>
      <c r="J383" s="3" t="s">
        <v>101</v>
      </c>
      <c r="K383" s="3" t="s">
        <v>41</v>
      </c>
      <c r="L383" s="4">
        <v>2</v>
      </c>
      <c r="M383" s="3">
        <v>580</v>
      </c>
      <c r="N383" s="3">
        <v>920</v>
      </c>
      <c r="O383" s="15">
        <f>Bike_Sales[[#This Row],[Order_Quantity]]*Bike_Sales[[#This Row],[Unit_Price]]</f>
        <v>1840</v>
      </c>
      <c r="P383" s="15">
        <f>Bike_Sales[[#This Row],[Order_Quantity]]*Bike_Sales[[#This Row],[Unit_Cost]]</f>
        <v>1160</v>
      </c>
      <c r="Q383" s="15">
        <f>Bike_Sales[[#This Row],[Total Sales]]-Bike_Sales[[#This Row],[Total Cost]]</f>
        <v>680</v>
      </c>
      <c r="R383" s="17">
        <f>Bike_Sales[[#This Row],[Profit]]/Bike_Sales[[#This Row],[Total Sales]]</f>
        <v>0.36956521739130432</v>
      </c>
      <c r="S383" s="16" t="str">
        <f t="shared" si="5"/>
        <v>25-34</v>
      </c>
    </row>
    <row r="384" spans="1:19" x14ac:dyDescent="0.35">
      <c r="A384" s="2">
        <v>44553</v>
      </c>
      <c r="B384" s="2" t="str">
        <f>TEXT(Bike_Sales[[#This Row],[Date]],"mmmm")</f>
        <v>December</v>
      </c>
      <c r="C384" s="19">
        <f>MONTH(Bike_Sales[[#This Row],[Date]])</f>
        <v>12</v>
      </c>
      <c r="D384" s="2" t="str">
        <f>TEXT(Bike_Sales[[#This Row],[Date]],"dddd")</f>
        <v>Thursday</v>
      </c>
      <c r="E384" s="3">
        <v>34</v>
      </c>
      <c r="F384" s="3" t="s">
        <v>135</v>
      </c>
      <c r="G384" s="3" t="s">
        <v>18</v>
      </c>
      <c r="H384" s="3" t="s">
        <v>21</v>
      </c>
      <c r="I384" s="3" t="s">
        <v>11</v>
      </c>
      <c r="J384" s="3" t="s">
        <v>104</v>
      </c>
      <c r="K384" s="3" t="s">
        <v>12</v>
      </c>
      <c r="L384" s="4">
        <v>2</v>
      </c>
      <c r="M384" s="3">
        <v>500</v>
      </c>
      <c r="N384" s="3">
        <v>800</v>
      </c>
      <c r="O384" s="15">
        <f>Bike_Sales[[#This Row],[Order_Quantity]]*Bike_Sales[[#This Row],[Unit_Price]]</f>
        <v>1600</v>
      </c>
      <c r="P384" s="15">
        <f>Bike_Sales[[#This Row],[Order_Quantity]]*Bike_Sales[[#This Row],[Unit_Cost]]</f>
        <v>1000</v>
      </c>
      <c r="Q384" s="15">
        <f>Bike_Sales[[#This Row],[Total Sales]]-Bike_Sales[[#This Row],[Total Cost]]</f>
        <v>600</v>
      </c>
      <c r="R384" s="17">
        <f>Bike_Sales[[#This Row],[Profit]]/Bike_Sales[[#This Row],[Total Sales]]</f>
        <v>0.375</v>
      </c>
      <c r="S384" s="16" t="str">
        <f t="shared" si="5"/>
        <v>25-34</v>
      </c>
    </row>
    <row r="385" spans="1:19" x14ac:dyDescent="0.35">
      <c r="A385" s="2">
        <v>44554</v>
      </c>
      <c r="B385" s="2" t="str">
        <f>TEXT(Bike_Sales[[#This Row],[Date]],"mmmm")</f>
        <v>December</v>
      </c>
      <c r="C385" s="19">
        <f>MONTH(Bike_Sales[[#This Row],[Date]])</f>
        <v>12</v>
      </c>
      <c r="D385" s="2" t="str">
        <f>TEXT(Bike_Sales[[#This Row],[Date]],"dddd")</f>
        <v>Friday</v>
      </c>
      <c r="E385" s="3">
        <v>34</v>
      </c>
      <c r="F385" s="3" t="s">
        <v>135</v>
      </c>
      <c r="G385" s="3" t="s">
        <v>9</v>
      </c>
      <c r="H385" s="3" t="s">
        <v>10</v>
      </c>
      <c r="I385" s="3" t="s">
        <v>16</v>
      </c>
      <c r="J385" s="3" t="s">
        <v>101</v>
      </c>
      <c r="K385" s="3" t="s">
        <v>25</v>
      </c>
      <c r="L385" s="4">
        <v>1</v>
      </c>
      <c r="M385" s="3">
        <v>550</v>
      </c>
      <c r="N385" s="3">
        <v>850</v>
      </c>
      <c r="O385" s="15">
        <f>Bike_Sales[[#This Row],[Order_Quantity]]*Bike_Sales[[#This Row],[Unit_Price]]</f>
        <v>850</v>
      </c>
      <c r="P385" s="15">
        <f>Bike_Sales[[#This Row],[Order_Quantity]]*Bike_Sales[[#This Row],[Unit_Cost]]</f>
        <v>550</v>
      </c>
      <c r="Q385" s="15">
        <f>Bike_Sales[[#This Row],[Total Sales]]-Bike_Sales[[#This Row],[Total Cost]]</f>
        <v>300</v>
      </c>
      <c r="R385" s="17">
        <f>Bike_Sales[[#This Row],[Profit]]/Bike_Sales[[#This Row],[Total Sales]]</f>
        <v>0.35294117647058826</v>
      </c>
      <c r="S385" s="16" t="str">
        <f t="shared" si="5"/>
        <v>25-34</v>
      </c>
    </row>
    <row r="386" spans="1:19" x14ac:dyDescent="0.35">
      <c r="A386" s="2">
        <v>44555</v>
      </c>
      <c r="B386" s="2" t="str">
        <f>TEXT(Bike_Sales[[#This Row],[Date]],"mmmm")</f>
        <v>December</v>
      </c>
      <c r="C386" s="19">
        <f>MONTH(Bike_Sales[[#This Row],[Date]])</f>
        <v>12</v>
      </c>
      <c r="D386" s="2" t="str">
        <f>TEXT(Bike_Sales[[#This Row],[Date]],"dddd")</f>
        <v>Saturday</v>
      </c>
      <c r="E386" s="3">
        <v>34</v>
      </c>
      <c r="F386" s="3" t="s">
        <v>135</v>
      </c>
      <c r="G386" s="3" t="s">
        <v>18</v>
      </c>
      <c r="H386" s="3" t="s">
        <v>19</v>
      </c>
      <c r="I386" s="3" t="s">
        <v>11</v>
      </c>
      <c r="J386" s="3" t="s">
        <v>102</v>
      </c>
      <c r="K386" s="3" t="s">
        <v>47</v>
      </c>
      <c r="L386" s="4">
        <v>1</v>
      </c>
      <c r="M386" s="3">
        <v>900</v>
      </c>
      <c r="N386" s="3">
        <v>1400</v>
      </c>
      <c r="O386" s="15">
        <f>Bike_Sales[[#This Row],[Order_Quantity]]*Bike_Sales[[#This Row],[Unit_Price]]</f>
        <v>1400</v>
      </c>
      <c r="P386" s="15">
        <f>Bike_Sales[[#This Row],[Order_Quantity]]*Bike_Sales[[#This Row],[Unit_Cost]]</f>
        <v>900</v>
      </c>
      <c r="Q386" s="15">
        <f>Bike_Sales[[#This Row],[Total Sales]]-Bike_Sales[[#This Row],[Total Cost]]</f>
        <v>500</v>
      </c>
      <c r="R386" s="17">
        <f>Bike_Sales[[#This Row],[Profit]]/Bike_Sales[[#This Row],[Total Sales]]</f>
        <v>0.35714285714285715</v>
      </c>
      <c r="S386" s="16" t="str">
        <f t="shared" ref="S386:S449" si="6">IF(E386&lt;25,"Under 25",IF(E386&lt;35,"25-34",IF(E386&lt;45,"35-44",IF(E386&lt;55,"45-54","55+"))))</f>
        <v>25-34</v>
      </c>
    </row>
    <row r="387" spans="1:19" x14ac:dyDescent="0.35">
      <c r="A387" s="2">
        <v>44556</v>
      </c>
      <c r="B387" s="2" t="str">
        <f>TEXT(Bike_Sales[[#This Row],[Date]],"mmmm")</f>
        <v>December</v>
      </c>
      <c r="C387" s="19">
        <f>MONTH(Bike_Sales[[#This Row],[Date]])</f>
        <v>12</v>
      </c>
      <c r="D387" s="2" t="str">
        <f>TEXT(Bike_Sales[[#This Row],[Date]],"dddd")</f>
        <v>Sunday</v>
      </c>
      <c r="E387" s="3">
        <v>34</v>
      </c>
      <c r="F387" s="3" t="s">
        <v>126</v>
      </c>
      <c r="G387" s="3" t="s">
        <v>9</v>
      </c>
      <c r="H387" s="3" t="s">
        <v>10</v>
      </c>
      <c r="I387" s="3" t="s">
        <v>16</v>
      </c>
      <c r="J387" s="3" t="s">
        <v>101</v>
      </c>
      <c r="K387" s="3" t="s">
        <v>94</v>
      </c>
      <c r="L387" s="4">
        <v>1</v>
      </c>
      <c r="M387" s="3">
        <v>480</v>
      </c>
      <c r="N387" s="3">
        <v>760</v>
      </c>
      <c r="O387" s="15">
        <f>Bike_Sales[[#This Row],[Order_Quantity]]*Bike_Sales[[#This Row],[Unit_Price]]</f>
        <v>760</v>
      </c>
      <c r="P387" s="15">
        <f>Bike_Sales[[#This Row],[Order_Quantity]]*Bike_Sales[[#This Row],[Unit_Cost]]</f>
        <v>480</v>
      </c>
      <c r="Q387" s="15">
        <f>Bike_Sales[[#This Row],[Total Sales]]-Bike_Sales[[#This Row],[Total Cost]]</f>
        <v>280</v>
      </c>
      <c r="R387" s="17">
        <f>Bike_Sales[[#This Row],[Profit]]/Bike_Sales[[#This Row],[Total Sales]]</f>
        <v>0.36842105263157893</v>
      </c>
      <c r="S387" s="16" t="str">
        <f t="shared" si="6"/>
        <v>25-34</v>
      </c>
    </row>
    <row r="388" spans="1:19" x14ac:dyDescent="0.35">
      <c r="A388" s="2">
        <v>44558</v>
      </c>
      <c r="B388" s="2" t="str">
        <f>TEXT(Bike_Sales[[#This Row],[Date]],"mmmm")</f>
        <v>December</v>
      </c>
      <c r="C388" s="19">
        <f>MONTH(Bike_Sales[[#This Row],[Date]])</f>
        <v>12</v>
      </c>
      <c r="D388" s="2" t="str">
        <f>TEXT(Bike_Sales[[#This Row],[Date]],"dddd")</f>
        <v>Tuesday</v>
      </c>
      <c r="E388" s="3">
        <v>34</v>
      </c>
      <c r="F388" s="3" t="s">
        <v>126</v>
      </c>
      <c r="G388" s="3" t="s">
        <v>18</v>
      </c>
      <c r="H388" s="3" t="s">
        <v>35</v>
      </c>
      <c r="I388" s="3" t="s">
        <v>16</v>
      </c>
      <c r="J388" s="3" t="s">
        <v>101</v>
      </c>
      <c r="K388" s="3" t="s">
        <v>98</v>
      </c>
      <c r="L388" s="4">
        <v>1</v>
      </c>
      <c r="M388" s="3">
        <v>400</v>
      </c>
      <c r="N388" s="3">
        <v>650</v>
      </c>
      <c r="O388" s="15">
        <f>Bike_Sales[[#This Row],[Order_Quantity]]*Bike_Sales[[#This Row],[Unit_Price]]</f>
        <v>650</v>
      </c>
      <c r="P388" s="15">
        <f>Bike_Sales[[#This Row],[Order_Quantity]]*Bike_Sales[[#This Row],[Unit_Cost]]</f>
        <v>400</v>
      </c>
      <c r="Q388" s="15">
        <f>Bike_Sales[[#This Row],[Total Sales]]-Bike_Sales[[#This Row],[Total Cost]]</f>
        <v>250</v>
      </c>
      <c r="R388" s="17">
        <f>Bike_Sales[[#This Row],[Profit]]/Bike_Sales[[#This Row],[Total Sales]]</f>
        <v>0.38461538461538464</v>
      </c>
      <c r="S388" s="16" t="str">
        <f t="shared" si="6"/>
        <v>25-34</v>
      </c>
    </row>
    <row r="389" spans="1:19" x14ac:dyDescent="0.35">
      <c r="A389" s="2">
        <v>44559</v>
      </c>
      <c r="B389" s="2" t="str">
        <f>TEXT(Bike_Sales[[#This Row],[Date]],"mmmm")</f>
        <v>December</v>
      </c>
      <c r="C389" s="19">
        <f>MONTH(Bike_Sales[[#This Row],[Date]])</f>
        <v>12</v>
      </c>
      <c r="D389" s="2" t="str">
        <f>TEXT(Bike_Sales[[#This Row],[Date]],"dddd")</f>
        <v>Wednesday</v>
      </c>
      <c r="E389" s="3">
        <v>34</v>
      </c>
      <c r="F389" s="3" t="s">
        <v>126</v>
      </c>
      <c r="G389" s="3" t="s">
        <v>129</v>
      </c>
      <c r="H389" s="3" t="s">
        <v>15</v>
      </c>
      <c r="I389" s="3" t="s">
        <v>11</v>
      </c>
      <c r="J389" s="3" t="s">
        <v>104</v>
      </c>
      <c r="K389" s="3" t="s">
        <v>77</v>
      </c>
      <c r="L389" s="4">
        <v>1</v>
      </c>
      <c r="M389" s="3">
        <v>500</v>
      </c>
      <c r="N389" s="3">
        <v>800</v>
      </c>
      <c r="O389" s="15">
        <f>Bike_Sales[[#This Row],[Order_Quantity]]*Bike_Sales[[#This Row],[Unit_Price]]</f>
        <v>800</v>
      </c>
      <c r="P389" s="15">
        <f>Bike_Sales[[#This Row],[Order_Quantity]]*Bike_Sales[[#This Row],[Unit_Cost]]</f>
        <v>500</v>
      </c>
      <c r="Q389" s="15">
        <f>Bike_Sales[[#This Row],[Total Sales]]-Bike_Sales[[#This Row],[Total Cost]]</f>
        <v>300</v>
      </c>
      <c r="R389" s="17">
        <f>Bike_Sales[[#This Row],[Profit]]/Bike_Sales[[#This Row],[Total Sales]]</f>
        <v>0.375</v>
      </c>
      <c r="S389" s="16" t="str">
        <f t="shared" si="6"/>
        <v>25-34</v>
      </c>
    </row>
    <row r="390" spans="1:19" x14ac:dyDescent="0.35">
      <c r="A390" s="2">
        <v>44477</v>
      </c>
      <c r="B390" s="2" t="str">
        <f>TEXT(Bike_Sales[[#This Row],[Date]],"mmmm")</f>
        <v>October</v>
      </c>
      <c r="C390" s="19">
        <f>MONTH(Bike_Sales[[#This Row],[Date]])</f>
        <v>10</v>
      </c>
      <c r="D390" s="2" t="str">
        <f>TEXT(Bike_Sales[[#This Row],[Date]],"dddd")</f>
        <v>Friday</v>
      </c>
      <c r="E390" s="3">
        <v>35</v>
      </c>
      <c r="F390" s="3" t="s">
        <v>135</v>
      </c>
      <c r="G390" s="3" t="s">
        <v>13</v>
      </c>
      <c r="H390" s="3" t="s">
        <v>127</v>
      </c>
      <c r="I390" s="3" t="s">
        <v>11</v>
      </c>
      <c r="J390" s="3" t="s">
        <v>101</v>
      </c>
      <c r="K390" s="3" t="s">
        <v>44</v>
      </c>
      <c r="L390" s="4">
        <v>4</v>
      </c>
      <c r="M390" s="3">
        <v>700</v>
      </c>
      <c r="N390" s="3">
        <v>1100</v>
      </c>
      <c r="O390" s="15">
        <f>Bike_Sales[[#This Row],[Order_Quantity]]*Bike_Sales[[#This Row],[Unit_Price]]</f>
        <v>4400</v>
      </c>
      <c r="P390" s="15">
        <f>Bike_Sales[[#This Row],[Order_Quantity]]*Bike_Sales[[#This Row],[Unit_Cost]]</f>
        <v>2800</v>
      </c>
      <c r="Q390" s="15">
        <f>Bike_Sales[[#This Row],[Total Sales]]-Bike_Sales[[#This Row],[Total Cost]]</f>
        <v>1600</v>
      </c>
      <c r="R390" s="17">
        <f>Bike_Sales[[#This Row],[Profit]]/Bike_Sales[[#This Row],[Total Sales]]</f>
        <v>0.36363636363636365</v>
      </c>
      <c r="S390" s="16" t="str">
        <f t="shared" si="6"/>
        <v>35-44</v>
      </c>
    </row>
    <row r="391" spans="1:19" x14ac:dyDescent="0.35">
      <c r="A391" s="2">
        <v>44480</v>
      </c>
      <c r="B391" s="2" t="str">
        <f>TEXT(Bike_Sales[[#This Row],[Date]],"mmmm")</f>
        <v>October</v>
      </c>
      <c r="C391" s="19">
        <f>MONTH(Bike_Sales[[#This Row],[Date]])</f>
        <v>10</v>
      </c>
      <c r="D391" s="2" t="str">
        <f>TEXT(Bike_Sales[[#This Row],[Date]],"dddd")</f>
        <v>Monday</v>
      </c>
      <c r="E391" s="3">
        <v>35</v>
      </c>
      <c r="F391" s="3" t="s">
        <v>126</v>
      </c>
      <c r="G391" s="3" t="s">
        <v>18</v>
      </c>
      <c r="H391" s="3" t="s">
        <v>63</v>
      </c>
      <c r="I391" s="3" t="s">
        <v>11</v>
      </c>
      <c r="J391" s="3" t="s">
        <v>104</v>
      </c>
      <c r="K391" s="3" t="s">
        <v>52</v>
      </c>
      <c r="L391" s="4">
        <v>1</v>
      </c>
      <c r="M391" s="3">
        <v>530</v>
      </c>
      <c r="N391" s="3">
        <v>840</v>
      </c>
      <c r="O391" s="15">
        <f>Bike_Sales[[#This Row],[Order_Quantity]]*Bike_Sales[[#This Row],[Unit_Price]]</f>
        <v>840</v>
      </c>
      <c r="P391" s="15">
        <f>Bike_Sales[[#This Row],[Order_Quantity]]*Bike_Sales[[#This Row],[Unit_Cost]]</f>
        <v>530</v>
      </c>
      <c r="Q391" s="15">
        <f>Bike_Sales[[#This Row],[Total Sales]]-Bike_Sales[[#This Row],[Total Cost]]</f>
        <v>310</v>
      </c>
      <c r="R391" s="17">
        <f>Bike_Sales[[#This Row],[Profit]]/Bike_Sales[[#This Row],[Total Sales]]</f>
        <v>0.36904761904761907</v>
      </c>
      <c r="S391" s="16" t="str">
        <f t="shared" si="6"/>
        <v>35-44</v>
      </c>
    </row>
    <row r="392" spans="1:19" x14ac:dyDescent="0.35">
      <c r="A392" s="2">
        <v>44489</v>
      </c>
      <c r="B392" s="2" t="str">
        <f>TEXT(Bike_Sales[[#This Row],[Date]],"mmmm")</f>
        <v>October</v>
      </c>
      <c r="C392" s="19">
        <f>MONTH(Bike_Sales[[#This Row],[Date]])</f>
        <v>10</v>
      </c>
      <c r="D392" s="2" t="str">
        <f>TEXT(Bike_Sales[[#This Row],[Date]],"dddd")</f>
        <v>Wednesday</v>
      </c>
      <c r="E392" s="3">
        <v>35</v>
      </c>
      <c r="F392" s="3" t="s">
        <v>135</v>
      </c>
      <c r="G392" s="3" t="s">
        <v>13</v>
      </c>
      <c r="H392" s="3" t="s">
        <v>127</v>
      </c>
      <c r="I392" s="3" t="s">
        <v>11</v>
      </c>
      <c r="J392" s="3" t="s">
        <v>101</v>
      </c>
      <c r="K392" s="3" t="s">
        <v>44</v>
      </c>
      <c r="L392" s="4">
        <v>1</v>
      </c>
      <c r="M392" s="3">
        <v>700</v>
      </c>
      <c r="N392" s="3">
        <v>1100</v>
      </c>
      <c r="O392" s="15">
        <f>Bike_Sales[[#This Row],[Order_Quantity]]*Bike_Sales[[#This Row],[Unit_Price]]</f>
        <v>1100</v>
      </c>
      <c r="P392" s="15">
        <f>Bike_Sales[[#This Row],[Order_Quantity]]*Bike_Sales[[#This Row],[Unit_Cost]]</f>
        <v>700</v>
      </c>
      <c r="Q392" s="15">
        <f>Bike_Sales[[#This Row],[Total Sales]]-Bike_Sales[[#This Row],[Total Cost]]</f>
        <v>400</v>
      </c>
      <c r="R392" s="17">
        <f>Bike_Sales[[#This Row],[Profit]]/Bike_Sales[[#This Row],[Total Sales]]</f>
        <v>0.36363636363636365</v>
      </c>
      <c r="S392" s="16" t="str">
        <f t="shared" si="6"/>
        <v>35-44</v>
      </c>
    </row>
    <row r="393" spans="1:19" x14ac:dyDescent="0.35">
      <c r="A393" s="2">
        <v>44491</v>
      </c>
      <c r="B393" s="2" t="str">
        <f>TEXT(Bike_Sales[[#This Row],[Date]],"mmmm")</f>
        <v>October</v>
      </c>
      <c r="C393" s="19">
        <f>MONTH(Bike_Sales[[#This Row],[Date]])</f>
        <v>10</v>
      </c>
      <c r="D393" s="2" t="str">
        <f>TEXT(Bike_Sales[[#This Row],[Date]],"dddd")</f>
        <v>Friday</v>
      </c>
      <c r="E393" s="3">
        <v>35</v>
      </c>
      <c r="F393" s="3" t="s">
        <v>126</v>
      </c>
      <c r="G393" s="3" t="s">
        <v>13</v>
      </c>
      <c r="H393" s="3" t="s">
        <v>127</v>
      </c>
      <c r="I393" s="3" t="s">
        <v>11</v>
      </c>
      <c r="J393" s="3" t="s">
        <v>101</v>
      </c>
      <c r="K393" s="3" t="s">
        <v>44</v>
      </c>
      <c r="L393" s="4">
        <v>2</v>
      </c>
      <c r="M393" s="3">
        <v>700</v>
      </c>
      <c r="N393" s="3">
        <v>1100</v>
      </c>
      <c r="O393" s="15">
        <f>Bike_Sales[[#This Row],[Order_Quantity]]*Bike_Sales[[#This Row],[Unit_Price]]</f>
        <v>2200</v>
      </c>
      <c r="P393" s="15">
        <f>Bike_Sales[[#This Row],[Order_Quantity]]*Bike_Sales[[#This Row],[Unit_Cost]]</f>
        <v>1400</v>
      </c>
      <c r="Q393" s="15">
        <f>Bike_Sales[[#This Row],[Total Sales]]-Bike_Sales[[#This Row],[Total Cost]]</f>
        <v>800</v>
      </c>
      <c r="R393" s="17">
        <f>Bike_Sales[[#This Row],[Profit]]/Bike_Sales[[#This Row],[Total Sales]]</f>
        <v>0.36363636363636365</v>
      </c>
      <c r="S393" s="16" t="str">
        <f t="shared" si="6"/>
        <v>35-44</v>
      </c>
    </row>
    <row r="394" spans="1:19" x14ac:dyDescent="0.35">
      <c r="A394" s="2">
        <v>44506</v>
      </c>
      <c r="B394" s="2" t="str">
        <f>TEXT(Bike_Sales[[#This Row],[Date]],"mmmm")</f>
        <v>November</v>
      </c>
      <c r="C394" s="19">
        <f>MONTH(Bike_Sales[[#This Row],[Date]])</f>
        <v>11</v>
      </c>
      <c r="D394" s="2" t="str">
        <f>TEXT(Bike_Sales[[#This Row],[Date]],"dddd")</f>
        <v>Saturday</v>
      </c>
      <c r="E394" s="3">
        <v>35</v>
      </c>
      <c r="F394" s="3" t="s">
        <v>135</v>
      </c>
      <c r="G394" s="3" t="s">
        <v>33</v>
      </c>
      <c r="H394" s="3" t="s">
        <v>73</v>
      </c>
      <c r="I394" s="3" t="s">
        <v>11</v>
      </c>
      <c r="J394" s="3" t="s">
        <v>101</v>
      </c>
      <c r="K394" s="3" t="s">
        <v>41</v>
      </c>
      <c r="L394" s="4">
        <v>1</v>
      </c>
      <c r="M394" s="3">
        <v>580</v>
      </c>
      <c r="N394" s="3">
        <v>920</v>
      </c>
      <c r="O394" s="15">
        <f>Bike_Sales[[#This Row],[Order_Quantity]]*Bike_Sales[[#This Row],[Unit_Price]]</f>
        <v>920</v>
      </c>
      <c r="P394" s="15">
        <f>Bike_Sales[[#This Row],[Order_Quantity]]*Bike_Sales[[#This Row],[Unit_Cost]]</f>
        <v>580</v>
      </c>
      <c r="Q394" s="15">
        <f>Bike_Sales[[#This Row],[Total Sales]]-Bike_Sales[[#This Row],[Total Cost]]</f>
        <v>340</v>
      </c>
      <c r="R394" s="17">
        <f>Bike_Sales[[#This Row],[Profit]]/Bike_Sales[[#This Row],[Total Sales]]</f>
        <v>0.36956521739130432</v>
      </c>
      <c r="S394" s="16" t="str">
        <f t="shared" si="6"/>
        <v>35-44</v>
      </c>
    </row>
    <row r="395" spans="1:19" x14ac:dyDescent="0.35">
      <c r="A395" s="2">
        <v>44508</v>
      </c>
      <c r="B395" s="2" t="str">
        <f>TEXT(Bike_Sales[[#This Row],[Date]],"mmmm")</f>
        <v>November</v>
      </c>
      <c r="C395" s="19">
        <f>MONTH(Bike_Sales[[#This Row],[Date]])</f>
        <v>11</v>
      </c>
      <c r="D395" s="2" t="str">
        <f>TEXT(Bike_Sales[[#This Row],[Date]],"dddd")</f>
        <v>Monday</v>
      </c>
      <c r="E395" s="3">
        <v>35</v>
      </c>
      <c r="F395" s="3" t="s">
        <v>126</v>
      </c>
      <c r="G395" s="3" t="s">
        <v>13</v>
      </c>
      <c r="H395" s="3" t="s">
        <v>127</v>
      </c>
      <c r="I395" s="3" t="s">
        <v>16</v>
      </c>
      <c r="J395" s="3" t="s">
        <v>101</v>
      </c>
      <c r="K395" s="3" t="s">
        <v>30</v>
      </c>
      <c r="L395" s="4">
        <v>2</v>
      </c>
      <c r="M395" s="3">
        <v>480</v>
      </c>
      <c r="N395" s="3">
        <v>760</v>
      </c>
      <c r="O395" s="15">
        <f>Bike_Sales[[#This Row],[Order_Quantity]]*Bike_Sales[[#This Row],[Unit_Price]]</f>
        <v>1520</v>
      </c>
      <c r="P395" s="15">
        <f>Bike_Sales[[#This Row],[Order_Quantity]]*Bike_Sales[[#This Row],[Unit_Cost]]</f>
        <v>960</v>
      </c>
      <c r="Q395" s="15">
        <f>Bike_Sales[[#This Row],[Total Sales]]-Bike_Sales[[#This Row],[Total Cost]]</f>
        <v>560</v>
      </c>
      <c r="R395" s="17">
        <f>Bike_Sales[[#This Row],[Profit]]/Bike_Sales[[#This Row],[Total Sales]]</f>
        <v>0.36842105263157893</v>
      </c>
      <c r="S395" s="16" t="str">
        <f t="shared" si="6"/>
        <v>35-44</v>
      </c>
    </row>
    <row r="396" spans="1:19" x14ac:dyDescent="0.35">
      <c r="A396" s="2">
        <v>44521</v>
      </c>
      <c r="B396" s="2" t="str">
        <f>TEXT(Bike_Sales[[#This Row],[Date]],"mmmm")</f>
        <v>November</v>
      </c>
      <c r="C396" s="19">
        <f>MONTH(Bike_Sales[[#This Row],[Date]])</f>
        <v>11</v>
      </c>
      <c r="D396" s="2" t="str">
        <f>TEXT(Bike_Sales[[#This Row],[Date]],"dddd")</f>
        <v>Sunday</v>
      </c>
      <c r="E396" s="3">
        <v>35</v>
      </c>
      <c r="F396" s="3" t="s">
        <v>126</v>
      </c>
      <c r="G396" s="3" t="s">
        <v>9</v>
      </c>
      <c r="H396" s="3" t="s">
        <v>37</v>
      </c>
      <c r="I396" s="3" t="s">
        <v>11</v>
      </c>
      <c r="J396" s="3" t="s">
        <v>102</v>
      </c>
      <c r="K396" s="3" t="s">
        <v>66</v>
      </c>
      <c r="L396" s="4">
        <v>4</v>
      </c>
      <c r="M396" s="3">
        <v>900</v>
      </c>
      <c r="N396" s="3">
        <v>1400</v>
      </c>
      <c r="O396" s="15">
        <f>Bike_Sales[[#This Row],[Order_Quantity]]*Bike_Sales[[#This Row],[Unit_Price]]</f>
        <v>5600</v>
      </c>
      <c r="P396" s="15">
        <f>Bike_Sales[[#This Row],[Order_Quantity]]*Bike_Sales[[#This Row],[Unit_Cost]]</f>
        <v>3600</v>
      </c>
      <c r="Q396" s="15">
        <f>Bike_Sales[[#This Row],[Total Sales]]-Bike_Sales[[#This Row],[Total Cost]]</f>
        <v>2000</v>
      </c>
      <c r="R396" s="17">
        <f>Bike_Sales[[#This Row],[Profit]]/Bike_Sales[[#This Row],[Total Sales]]</f>
        <v>0.35714285714285715</v>
      </c>
      <c r="S396" s="16" t="str">
        <f t="shared" si="6"/>
        <v>35-44</v>
      </c>
    </row>
    <row r="397" spans="1:19" x14ac:dyDescent="0.35">
      <c r="A397" s="2">
        <v>44532</v>
      </c>
      <c r="B397" s="2" t="str">
        <f>TEXT(Bike_Sales[[#This Row],[Date]],"mmmm")</f>
        <v>December</v>
      </c>
      <c r="C397" s="19">
        <f>MONTH(Bike_Sales[[#This Row],[Date]])</f>
        <v>12</v>
      </c>
      <c r="D397" s="2" t="str">
        <f>TEXT(Bike_Sales[[#This Row],[Date]],"dddd")</f>
        <v>Thursday</v>
      </c>
      <c r="E397" s="3">
        <v>35</v>
      </c>
      <c r="F397" s="3" t="s">
        <v>126</v>
      </c>
      <c r="G397" s="3" t="s">
        <v>18</v>
      </c>
      <c r="H397" s="3" t="s">
        <v>24</v>
      </c>
      <c r="I397" s="3" t="s">
        <v>11</v>
      </c>
      <c r="J397" s="3" t="s">
        <v>104</v>
      </c>
      <c r="K397" s="3" t="s">
        <v>27</v>
      </c>
      <c r="L397" s="4">
        <v>2</v>
      </c>
      <c r="M397" s="3">
        <v>530</v>
      </c>
      <c r="N397" s="3">
        <v>840</v>
      </c>
      <c r="O397" s="15">
        <f>Bike_Sales[[#This Row],[Order_Quantity]]*Bike_Sales[[#This Row],[Unit_Price]]</f>
        <v>1680</v>
      </c>
      <c r="P397" s="15">
        <f>Bike_Sales[[#This Row],[Order_Quantity]]*Bike_Sales[[#This Row],[Unit_Cost]]</f>
        <v>1060</v>
      </c>
      <c r="Q397" s="15">
        <f>Bike_Sales[[#This Row],[Total Sales]]-Bike_Sales[[#This Row],[Total Cost]]</f>
        <v>620</v>
      </c>
      <c r="R397" s="17">
        <f>Bike_Sales[[#This Row],[Profit]]/Bike_Sales[[#This Row],[Total Sales]]</f>
        <v>0.36904761904761907</v>
      </c>
      <c r="S397" s="16" t="str">
        <f t="shared" si="6"/>
        <v>35-44</v>
      </c>
    </row>
    <row r="398" spans="1:19" x14ac:dyDescent="0.35">
      <c r="A398" s="2">
        <v>44535</v>
      </c>
      <c r="B398" s="2" t="str">
        <f>TEXT(Bike_Sales[[#This Row],[Date]],"mmmm")</f>
        <v>December</v>
      </c>
      <c r="C398" s="19">
        <f>MONTH(Bike_Sales[[#This Row],[Date]])</f>
        <v>12</v>
      </c>
      <c r="D398" s="2" t="str">
        <f>TEXT(Bike_Sales[[#This Row],[Date]],"dddd")</f>
        <v>Sunday</v>
      </c>
      <c r="E398" s="3">
        <v>35</v>
      </c>
      <c r="F398" s="3" t="s">
        <v>135</v>
      </c>
      <c r="G398" s="3" t="s">
        <v>18</v>
      </c>
      <c r="H398" s="3" t="s">
        <v>19</v>
      </c>
      <c r="I398" s="3" t="s">
        <v>16</v>
      </c>
      <c r="J398" s="3" t="s">
        <v>103</v>
      </c>
      <c r="K398" s="3" t="s">
        <v>22</v>
      </c>
      <c r="L398" s="4">
        <v>1</v>
      </c>
      <c r="M398" s="3">
        <v>550</v>
      </c>
      <c r="N398" s="3">
        <v>850</v>
      </c>
      <c r="O398" s="15">
        <f>Bike_Sales[[#This Row],[Order_Quantity]]*Bike_Sales[[#This Row],[Unit_Price]]</f>
        <v>850</v>
      </c>
      <c r="P398" s="15">
        <f>Bike_Sales[[#This Row],[Order_Quantity]]*Bike_Sales[[#This Row],[Unit_Cost]]</f>
        <v>550</v>
      </c>
      <c r="Q398" s="15">
        <f>Bike_Sales[[#This Row],[Total Sales]]-Bike_Sales[[#This Row],[Total Cost]]</f>
        <v>300</v>
      </c>
      <c r="R398" s="17">
        <f>Bike_Sales[[#This Row],[Profit]]/Bike_Sales[[#This Row],[Total Sales]]</f>
        <v>0.35294117647058826</v>
      </c>
      <c r="S398" s="16" t="str">
        <f t="shared" si="6"/>
        <v>35-44</v>
      </c>
    </row>
    <row r="399" spans="1:19" x14ac:dyDescent="0.35">
      <c r="A399" s="2">
        <v>44538</v>
      </c>
      <c r="B399" s="2" t="str">
        <f>TEXT(Bike_Sales[[#This Row],[Date]],"mmmm")</f>
        <v>December</v>
      </c>
      <c r="C399" s="19">
        <f>MONTH(Bike_Sales[[#This Row],[Date]])</f>
        <v>12</v>
      </c>
      <c r="D399" s="2" t="str">
        <f>TEXT(Bike_Sales[[#This Row],[Date]],"dddd")</f>
        <v>Wednesday</v>
      </c>
      <c r="E399" s="3">
        <v>35</v>
      </c>
      <c r="F399" s="3" t="s">
        <v>135</v>
      </c>
      <c r="G399" s="3" t="s">
        <v>9</v>
      </c>
      <c r="H399" s="3" t="s">
        <v>10</v>
      </c>
      <c r="I399" s="3" t="s">
        <v>16</v>
      </c>
      <c r="J399" s="3" t="s">
        <v>101</v>
      </c>
      <c r="K399" s="3" t="s">
        <v>59</v>
      </c>
      <c r="L399" s="4">
        <v>1</v>
      </c>
      <c r="M399" s="3">
        <v>480</v>
      </c>
      <c r="N399" s="3">
        <v>760</v>
      </c>
      <c r="O399" s="15">
        <f>Bike_Sales[[#This Row],[Order_Quantity]]*Bike_Sales[[#This Row],[Unit_Price]]</f>
        <v>760</v>
      </c>
      <c r="P399" s="15">
        <f>Bike_Sales[[#This Row],[Order_Quantity]]*Bike_Sales[[#This Row],[Unit_Cost]]</f>
        <v>480</v>
      </c>
      <c r="Q399" s="15">
        <f>Bike_Sales[[#This Row],[Total Sales]]-Bike_Sales[[#This Row],[Total Cost]]</f>
        <v>280</v>
      </c>
      <c r="R399" s="17">
        <f>Bike_Sales[[#This Row],[Profit]]/Bike_Sales[[#This Row],[Total Sales]]</f>
        <v>0.36842105263157893</v>
      </c>
      <c r="S399" s="16" t="str">
        <f t="shared" si="6"/>
        <v>35-44</v>
      </c>
    </row>
    <row r="400" spans="1:19" x14ac:dyDescent="0.35">
      <c r="A400" s="2">
        <v>44542</v>
      </c>
      <c r="B400" s="2" t="str">
        <f>TEXT(Bike_Sales[[#This Row],[Date]],"mmmm")</f>
        <v>December</v>
      </c>
      <c r="C400" s="19">
        <f>MONTH(Bike_Sales[[#This Row],[Date]])</f>
        <v>12</v>
      </c>
      <c r="D400" s="2" t="str">
        <f>TEXT(Bike_Sales[[#This Row],[Date]],"dddd")</f>
        <v>Sunday</v>
      </c>
      <c r="E400" s="3">
        <v>35</v>
      </c>
      <c r="F400" s="3" t="s">
        <v>135</v>
      </c>
      <c r="G400" s="3" t="s">
        <v>18</v>
      </c>
      <c r="H400" s="3" t="s">
        <v>35</v>
      </c>
      <c r="I400" s="3" t="s">
        <v>16</v>
      </c>
      <c r="J400" s="3" t="s">
        <v>103</v>
      </c>
      <c r="K400" s="3" t="s">
        <v>45</v>
      </c>
      <c r="L400" s="4">
        <v>1</v>
      </c>
      <c r="M400" s="3">
        <v>550</v>
      </c>
      <c r="N400" s="3">
        <v>850</v>
      </c>
      <c r="O400" s="15">
        <f>Bike_Sales[[#This Row],[Order_Quantity]]*Bike_Sales[[#This Row],[Unit_Price]]</f>
        <v>850</v>
      </c>
      <c r="P400" s="15">
        <f>Bike_Sales[[#This Row],[Order_Quantity]]*Bike_Sales[[#This Row],[Unit_Cost]]</f>
        <v>550</v>
      </c>
      <c r="Q400" s="15">
        <f>Bike_Sales[[#This Row],[Total Sales]]-Bike_Sales[[#This Row],[Total Cost]]</f>
        <v>300</v>
      </c>
      <c r="R400" s="17">
        <f>Bike_Sales[[#This Row],[Profit]]/Bike_Sales[[#This Row],[Total Sales]]</f>
        <v>0.35294117647058826</v>
      </c>
      <c r="S400" s="16" t="str">
        <f t="shared" si="6"/>
        <v>35-44</v>
      </c>
    </row>
    <row r="401" spans="1:19" x14ac:dyDescent="0.35">
      <c r="A401" s="2">
        <v>44543</v>
      </c>
      <c r="B401" s="2" t="str">
        <f>TEXT(Bike_Sales[[#This Row],[Date]],"mmmm")</f>
        <v>December</v>
      </c>
      <c r="C401" s="19">
        <f>MONTH(Bike_Sales[[#This Row],[Date]])</f>
        <v>12</v>
      </c>
      <c r="D401" s="2" t="str">
        <f>TEXT(Bike_Sales[[#This Row],[Date]],"dddd")</f>
        <v>Monday</v>
      </c>
      <c r="E401" s="3">
        <v>35</v>
      </c>
      <c r="F401" s="3" t="s">
        <v>135</v>
      </c>
      <c r="G401" s="3" t="s">
        <v>33</v>
      </c>
      <c r="H401" s="3" t="s">
        <v>56</v>
      </c>
      <c r="I401" s="3" t="s">
        <v>11</v>
      </c>
      <c r="J401" s="3" t="s">
        <v>104</v>
      </c>
      <c r="K401" s="3" t="s">
        <v>51</v>
      </c>
      <c r="L401" s="4">
        <v>1</v>
      </c>
      <c r="M401" s="3">
        <v>530</v>
      </c>
      <c r="N401" s="3">
        <v>840</v>
      </c>
      <c r="O401" s="15">
        <f>Bike_Sales[[#This Row],[Order_Quantity]]*Bike_Sales[[#This Row],[Unit_Price]]</f>
        <v>840</v>
      </c>
      <c r="P401" s="15">
        <f>Bike_Sales[[#This Row],[Order_Quantity]]*Bike_Sales[[#This Row],[Unit_Cost]]</f>
        <v>530</v>
      </c>
      <c r="Q401" s="15">
        <f>Bike_Sales[[#This Row],[Total Sales]]-Bike_Sales[[#This Row],[Total Cost]]</f>
        <v>310</v>
      </c>
      <c r="R401" s="17">
        <f>Bike_Sales[[#This Row],[Profit]]/Bike_Sales[[#This Row],[Total Sales]]</f>
        <v>0.36904761904761907</v>
      </c>
      <c r="S401" s="16" t="str">
        <f t="shared" si="6"/>
        <v>35-44</v>
      </c>
    </row>
    <row r="402" spans="1:19" x14ac:dyDescent="0.35">
      <c r="A402" s="2">
        <v>44548</v>
      </c>
      <c r="B402" s="2" t="str">
        <f>TEXT(Bike_Sales[[#This Row],[Date]],"mmmm")</f>
        <v>December</v>
      </c>
      <c r="C402" s="19">
        <f>MONTH(Bike_Sales[[#This Row],[Date]])</f>
        <v>12</v>
      </c>
      <c r="D402" s="2" t="str">
        <f>TEXT(Bike_Sales[[#This Row],[Date]],"dddd")</f>
        <v>Saturday</v>
      </c>
      <c r="E402" s="3">
        <v>35</v>
      </c>
      <c r="F402" s="3" t="s">
        <v>135</v>
      </c>
      <c r="G402" s="3" t="s">
        <v>18</v>
      </c>
      <c r="H402" s="3" t="s">
        <v>24</v>
      </c>
      <c r="I402" s="3" t="s">
        <v>16</v>
      </c>
      <c r="J402" s="3" t="s">
        <v>103</v>
      </c>
      <c r="K402" s="3" t="s">
        <v>58</v>
      </c>
      <c r="L402" s="4">
        <v>4</v>
      </c>
      <c r="M402" s="3">
        <v>480</v>
      </c>
      <c r="N402" s="3">
        <v>760</v>
      </c>
      <c r="O402" s="15">
        <f>Bike_Sales[[#This Row],[Order_Quantity]]*Bike_Sales[[#This Row],[Unit_Price]]</f>
        <v>3040</v>
      </c>
      <c r="P402" s="15">
        <f>Bike_Sales[[#This Row],[Order_Quantity]]*Bike_Sales[[#This Row],[Unit_Cost]]</f>
        <v>1920</v>
      </c>
      <c r="Q402" s="15">
        <f>Bike_Sales[[#This Row],[Total Sales]]-Bike_Sales[[#This Row],[Total Cost]]</f>
        <v>1120</v>
      </c>
      <c r="R402" s="17">
        <f>Bike_Sales[[#This Row],[Profit]]/Bike_Sales[[#This Row],[Total Sales]]</f>
        <v>0.36842105263157893</v>
      </c>
      <c r="S402" s="16" t="str">
        <f t="shared" si="6"/>
        <v>35-44</v>
      </c>
    </row>
    <row r="403" spans="1:19" x14ac:dyDescent="0.35">
      <c r="A403" s="2">
        <v>44549</v>
      </c>
      <c r="B403" s="2" t="str">
        <f>TEXT(Bike_Sales[[#This Row],[Date]],"mmmm")</f>
        <v>December</v>
      </c>
      <c r="C403" s="19">
        <f>MONTH(Bike_Sales[[#This Row],[Date]])</f>
        <v>12</v>
      </c>
      <c r="D403" s="2" t="str">
        <f>TEXT(Bike_Sales[[#This Row],[Date]],"dddd")</f>
        <v>Sunday</v>
      </c>
      <c r="E403" s="3">
        <v>35</v>
      </c>
      <c r="F403" s="3" t="s">
        <v>135</v>
      </c>
      <c r="G403" s="3" t="s">
        <v>9</v>
      </c>
      <c r="H403" s="3" t="s">
        <v>69</v>
      </c>
      <c r="I403" s="3" t="s">
        <v>16</v>
      </c>
      <c r="J403" s="3" t="s">
        <v>101</v>
      </c>
      <c r="K403" s="3" t="s">
        <v>38</v>
      </c>
      <c r="L403" s="4">
        <v>4</v>
      </c>
      <c r="M403" s="3">
        <v>400</v>
      </c>
      <c r="N403" s="3">
        <v>650</v>
      </c>
      <c r="O403" s="15">
        <f>Bike_Sales[[#This Row],[Order_Quantity]]*Bike_Sales[[#This Row],[Unit_Price]]</f>
        <v>2600</v>
      </c>
      <c r="P403" s="15">
        <f>Bike_Sales[[#This Row],[Order_Quantity]]*Bike_Sales[[#This Row],[Unit_Cost]]</f>
        <v>1600</v>
      </c>
      <c r="Q403" s="15">
        <f>Bike_Sales[[#This Row],[Total Sales]]-Bike_Sales[[#This Row],[Total Cost]]</f>
        <v>1000</v>
      </c>
      <c r="R403" s="17">
        <f>Bike_Sales[[#This Row],[Profit]]/Bike_Sales[[#This Row],[Total Sales]]</f>
        <v>0.38461538461538464</v>
      </c>
      <c r="S403" s="16" t="str">
        <f t="shared" si="6"/>
        <v>35-44</v>
      </c>
    </row>
    <row r="404" spans="1:19" x14ac:dyDescent="0.35">
      <c r="A404" s="2">
        <v>44550</v>
      </c>
      <c r="B404" s="2" t="str">
        <f>TEXT(Bike_Sales[[#This Row],[Date]],"mmmm")</f>
        <v>December</v>
      </c>
      <c r="C404" s="19">
        <f>MONTH(Bike_Sales[[#This Row],[Date]])</f>
        <v>12</v>
      </c>
      <c r="D404" s="2" t="str">
        <f>TEXT(Bike_Sales[[#This Row],[Date]],"dddd")</f>
        <v>Monday</v>
      </c>
      <c r="E404" s="3">
        <v>35</v>
      </c>
      <c r="F404" s="3" t="s">
        <v>126</v>
      </c>
      <c r="G404" s="3" t="s">
        <v>39</v>
      </c>
      <c r="H404" s="3" t="s">
        <v>82</v>
      </c>
      <c r="I404" s="3" t="s">
        <v>11</v>
      </c>
      <c r="J404" s="3" t="s">
        <v>102</v>
      </c>
      <c r="K404" s="3" t="s">
        <v>29</v>
      </c>
      <c r="L404" s="4">
        <v>3</v>
      </c>
      <c r="M404" s="3">
        <v>900</v>
      </c>
      <c r="N404" s="3">
        <v>1400</v>
      </c>
      <c r="O404" s="15">
        <f>Bike_Sales[[#This Row],[Order_Quantity]]*Bike_Sales[[#This Row],[Unit_Price]]</f>
        <v>4200</v>
      </c>
      <c r="P404" s="15">
        <f>Bike_Sales[[#This Row],[Order_Quantity]]*Bike_Sales[[#This Row],[Unit_Cost]]</f>
        <v>2700</v>
      </c>
      <c r="Q404" s="15">
        <f>Bike_Sales[[#This Row],[Total Sales]]-Bike_Sales[[#This Row],[Total Cost]]</f>
        <v>1500</v>
      </c>
      <c r="R404" s="17">
        <f>Bike_Sales[[#This Row],[Profit]]/Bike_Sales[[#This Row],[Total Sales]]</f>
        <v>0.35714285714285715</v>
      </c>
      <c r="S404" s="16" t="str">
        <f t="shared" si="6"/>
        <v>35-44</v>
      </c>
    </row>
    <row r="405" spans="1:19" x14ac:dyDescent="0.35">
      <c r="A405" s="2">
        <v>44550</v>
      </c>
      <c r="B405" s="2" t="str">
        <f>TEXT(Bike_Sales[[#This Row],[Date]],"mmmm")</f>
        <v>December</v>
      </c>
      <c r="C405" s="19">
        <f>MONTH(Bike_Sales[[#This Row],[Date]])</f>
        <v>12</v>
      </c>
      <c r="D405" s="2" t="str">
        <f>TEXT(Bike_Sales[[#This Row],[Date]],"dddd")</f>
        <v>Monday</v>
      </c>
      <c r="E405" s="3">
        <v>35</v>
      </c>
      <c r="F405" s="3" t="s">
        <v>135</v>
      </c>
      <c r="G405" s="3" t="s">
        <v>18</v>
      </c>
      <c r="H405" s="3" t="s">
        <v>19</v>
      </c>
      <c r="I405" s="3" t="s">
        <v>16</v>
      </c>
      <c r="J405" s="3" t="s">
        <v>103</v>
      </c>
      <c r="K405" s="3" t="s">
        <v>22</v>
      </c>
      <c r="L405" s="4">
        <v>1</v>
      </c>
      <c r="M405" s="3">
        <v>550</v>
      </c>
      <c r="N405" s="3">
        <v>850</v>
      </c>
      <c r="O405" s="15">
        <f>Bike_Sales[[#This Row],[Order_Quantity]]*Bike_Sales[[#This Row],[Unit_Price]]</f>
        <v>850</v>
      </c>
      <c r="P405" s="15">
        <f>Bike_Sales[[#This Row],[Order_Quantity]]*Bike_Sales[[#This Row],[Unit_Cost]]</f>
        <v>550</v>
      </c>
      <c r="Q405" s="15">
        <f>Bike_Sales[[#This Row],[Total Sales]]-Bike_Sales[[#This Row],[Total Cost]]</f>
        <v>300</v>
      </c>
      <c r="R405" s="17">
        <f>Bike_Sales[[#This Row],[Profit]]/Bike_Sales[[#This Row],[Total Sales]]</f>
        <v>0.35294117647058826</v>
      </c>
      <c r="S405" s="16" t="str">
        <f t="shared" si="6"/>
        <v>35-44</v>
      </c>
    </row>
    <row r="406" spans="1:19" x14ac:dyDescent="0.35">
      <c r="A406" s="2">
        <v>44550</v>
      </c>
      <c r="B406" s="2" t="str">
        <f>TEXT(Bike_Sales[[#This Row],[Date]],"mmmm")</f>
        <v>December</v>
      </c>
      <c r="C406" s="19">
        <f>MONTH(Bike_Sales[[#This Row],[Date]])</f>
        <v>12</v>
      </c>
      <c r="D406" s="2" t="str">
        <f>TEXT(Bike_Sales[[#This Row],[Date]],"dddd")</f>
        <v>Monday</v>
      </c>
      <c r="E406" s="3">
        <v>35</v>
      </c>
      <c r="F406" s="3" t="s">
        <v>126</v>
      </c>
      <c r="G406" s="3" t="s">
        <v>18</v>
      </c>
      <c r="H406" s="3" t="s">
        <v>35</v>
      </c>
      <c r="I406" s="3" t="s">
        <v>16</v>
      </c>
      <c r="J406" s="3" t="s">
        <v>103</v>
      </c>
      <c r="K406" s="3" t="s">
        <v>22</v>
      </c>
      <c r="L406" s="4">
        <v>1</v>
      </c>
      <c r="M406" s="3">
        <v>550</v>
      </c>
      <c r="N406" s="3">
        <v>850</v>
      </c>
      <c r="O406" s="15">
        <f>Bike_Sales[[#This Row],[Order_Quantity]]*Bike_Sales[[#This Row],[Unit_Price]]</f>
        <v>850</v>
      </c>
      <c r="P406" s="15">
        <f>Bike_Sales[[#This Row],[Order_Quantity]]*Bike_Sales[[#This Row],[Unit_Cost]]</f>
        <v>550</v>
      </c>
      <c r="Q406" s="15">
        <f>Bike_Sales[[#This Row],[Total Sales]]-Bike_Sales[[#This Row],[Total Cost]]</f>
        <v>300</v>
      </c>
      <c r="R406" s="17">
        <f>Bike_Sales[[#This Row],[Profit]]/Bike_Sales[[#This Row],[Total Sales]]</f>
        <v>0.35294117647058826</v>
      </c>
      <c r="S406" s="16" t="str">
        <f t="shared" si="6"/>
        <v>35-44</v>
      </c>
    </row>
    <row r="407" spans="1:19" x14ac:dyDescent="0.35">
      <c r="A407" s="2">
        <v>44550</v>
      </c>
      <c r="B407" s="2" t="str">
        <f>TEXT(Bike_Sales[[#This Row],[Date]],"mmmm")</f>
        <v>December</v>
      </c>
      <c r="C407" s="19">
        <f>MONTH(Bike_Sales[[#This Row],[Date]])</f>
        <v>12</v>
      </c>
      <c r="D407" s="2" t="str">
        <f>TEXT(Bike_Sales[[#This Row],[Date]],"dddd")</f>
        <v>Monday</v>
      </c>
      <c r="E407" s="3">
        <v>35</v>
      </c>
      <c r="F407" s="3" t="s">
        <v>135</v>
      </c>
      <c r="G407" s="3" t="s">
        <v>18</v>
      </c>
      <c r="H407" s="3" t="s">
        <v>19</v>
      </c>
      <c r="I407" s="3" t="s">
        <v>11</v>
      </c>
      <c r="J407" s="3" t="s">
        <v>104</v>
      </c>
      <c r="K407" s="3" t="s">
        <v>51</v>
      </c>
      <c r="L407" s="4">
        <v>1</v>
      </c>
      <c r="M407" s="3">
        <v>530</v>
      </c>
      <c r="N407" s="3">
        <v>840</v>
      </c>
      <c r="O407" s="15">
        <f>Bike_Sales[[#This Row],[Order_Quantity]]*Bike_Sales[[#This Row],[Unit_Price]]</f>
        <v>840</v>
      </c>
      <c r="P407" s="15">
        <f>Bike_Sales[[#This Row],[Order_Quantity]]*Bike_Sales[[#This Row],[Unit_Cost]]</f>
        <v>530</v>
      </c>
      <c r="Q407" s="15">
        <f>Bike_Sales[[#This Row],[Total Sales]]-Bike_Sales[[#This Row],[Total Cost]]</f>
        <v>310</v>
      </c>
      <c r="R407" s="17">
        <f>Bike_Sales[[#This Row],[Profit]]/Bike_Sales[[#This Row],[Total Sales]]</f>
        <v>0.36904761904761907</v>
      </c>
      <c r="S407" s="16" t="str">
        <f t="shared" si="6"/>
        <v>35-44</v>
      </c>
    </row>
    <row r="408" spans="1:19" x14ac:dyDescent="0.35">
      <c r="A408" s="2">
        <v>44553</v>
      </c>
      <c r="B408" s="2" t="str">
        <f>TEXT(Bike_Sales[[#This Row],[Date]],"mmmm")</f>
        <v>December</v>
      </c>
      <c r="C408" s="19">
        <f>MONTH(Bike_Sales[[#This Row],[Date]])</f>
        <v>12</v>
      </c>
      <c r="D408" s="2" t="str">
        <f>TEXT(Bike_Sales[[#This Row],[Date]],"dddd")</f>
        <v>Thursday</v>
      </c>
      <c r="E408" s="3">
        <v>35</v>
      </c>
      <c r="F408" s="3" t="s">
        <v>135</v>
      </c>
      <c r="G408" s="3" t="s">
        <v>9</v>
      </c>
      <c r="H408" s="3" t="s">
        <v>10</v>
      </c>
      <c r="I408" s="3" t="s">
        <v>16</v>
      </c>
      <c r="J408" s="3" t="s">
        <v>101</v>
      </c>
      <c r="K408" s="3" t="s">
        <v>59</v>
      </c>
      <c r="L408" s="4">
        <v>1</v>
      </c>
      <c r="M408" s="3">
        <v>480</v>
      </c>
      <c r="N408" s="3">
        <v>760</v>
      </c>
      <c r="O408" s="15">
        <f>Bike_Sales[[#This Row],[Order_Quantity]]*Bike_Sales[[#This Row],[Unit_Price]]</f>
        <v>760</v>
      </c>
      <c r="P408" s="15">
        <f>Bike_Sales[[#This Row],[Order_Quantity]]*Bike_Sales[[#This Row],[Unit_Cost]]</f>
        <v>480</v>
      </c>
      <c r="Q408" s="15">
        <f>Bike_Sales[[#This Row],[Total Sales]]-Bike_Sales[[#This Row],[Total Cost]]</f>
        <v>280</v>
      </c>
      <c r="R408" s="17">
        <f>Bike_Sales[[#This Row],[Profit]]/Bike_Sales[[#This Row],[Total Sales]]</f>
        <v>0.36842105263157893</v>
      </c>
      <c r="S408" s="16" t="str">
        <f t="shared" si="6"/>
        <v>35-44</v>
      </c>
    </row>
    <row r="409" spans="1:19" x14ac:dyDescent="0.35">
      <c r="A409" s="2">
        <v>44558</v>
      </c>
      <c r="B409" s="2" t="str">
        <f>TEXT(Bike_Sales[[#This Row],[Date]],"mmmm")</f>
        <v>December</v>
      </c>
      <c r="C409" s="19">
        <f>MONTH(Bike_Sales[[#This Row],[Date]])</f>
        <v>12</v>
      </c>
      <c r="D409" s="2" t="str">
        <f>TEXT(Bike_Sales[[#This Row],[Date]],"dddd")</f>
        <v>Tuesday</v>
      </c>
      <c r="E409" s="3">
        <v>35</v>
      </c>
      <c r="F409" s="3" t="s">
        <v>135</v>
      </c>
      <c r="G409" s="3" t="s">
        <v>18</v>
      </c>
      <c r="H409" s="3" t="s">
        <v>24</v>
      </c>
      <c r="I409" s="3" t="s">
        <v>11</v>
      </c>
      <c r="J409" s="3" t="s">
        <v>104</v>
      </c>
      <c r="K409" s="3" t="s">
        <v>52</v>
      </c>
      <c r="L409" s="4">
        <v>4</v>
      </c>
      <c r="M409" s="3">
        <v>530</v>
      </c>
      <c r="N409" s="3">
        <v>840</v>
      </c>
      <c r="O409" s="15">
        <f>Bike_Sales[[#This Row],[Order_Quantity]]*Bike_Sales[[#This Row],[Unit_Price]]</f>
        <v>3360</v>
      </c>
      <c r="P409" s="15">
        <f>Bike_Sales[[#This Row],[Order_Quantity]]*Bike_Sales[[#This Row],[Unit_Cost]]</f>
        <v>2120</v>
      </c>
      <c r="Q409" s="15">
        <f>Bike_Sales[[#This Row],[Total Sales]]-Bike_Sales[[#This Row],[Total Cost]]</f>
        <v>1240</v>
      </c>
      <c r="R409" s="17">
        <f>Bike_Sales[[#This Row],[Profit]]/Bike_Sales[[#This Row],[Total Sales]]</f>
        <v>0.36904761904761907</v>
      </c>
      <c r="S409" s="16" t="str">
        <f t="shared" si="6"/>
        <v>35-44</v>
      </c>
    </row>
    <row r="410" spans="1:19" x14ac:dyDescent="0.35">
      <c r="A410" s="2">
        <v>44559</v>
      </c>
      <c r="B410" s="2" t="str">
        <f>TEXT(Bike_Sales[[#This Row],[Date]],"mmmm")</f>
        <v>December</v>
      </c>
      <c r="C410" s="19">
        <f>MONTH(Bike_Sales[[#This Row],[Date]])</f>
        <v>12</v>
      </c>
      <c r="D410" s="2" t="str">
        <f>TEXT(Bike_Sales[[#This Row],[Date]],"dddd")</f>
        <v>Wednesday</v>
      </c>
      <c r="E410" s="3">
        <v>35</v>
      </c>
      <c r="F410" s="3" t="s">
        <v>135</v>
      </c>
      <c r="G410" s="3" t="s">
        <v>33</v>
      </c>
      <c r="H410" s="3" t="s">
        <v>56</v>
      </c>
      <c r="I410" s="3" t="s">
        <v>11</v>
      </c>
      <c r="J410" s="3" t="s">
        <v>104</v>
      </c>
      <c r="K410" s="3" t="s">
        <v>51</v>
      </c>
      <c r="L410" s="4">
        <v>1</v>
      </c>
      <c r="M410" s="3">
        <v>530</v>
      </c>
      <c r="N410" s="3">
        <v>840</v>
      </c>
      <c r="O410" s="15">
        <f>Bike_Sales[[#This Row],[Order_Quantity]]*Bike_Sales[[#This Row],[Unit_Price]]</f>
        <v>840</v>
      </c>
      <c r="P410" s="15">
        <f>Bike_Sales[[#This Row],[Order_Quantity]]*Bike_Sales[[#This Row],[Unit_Cost]]</f>
        <v>530</v>
      </c>
      <c r="Q410" s="15">
        <f>Bike_Sales[[#This Row],[Total Sales]]-Bike_Sales[[#This Row],[Total Cost]]</f>
        <v>310</v>
      </c>
      <c r="R410" s="17">
        <f>Bike_Sales[[#This Row],[Profit]]/Bike_Sales[[#This Row],[Total Sales]]</f>
        <v>0.36904761904761907</v>
      </c>
      <c r="S410" s="16" t="str">
        <f t="shared" si="6"/>
        <v>35-44</v>
      </c>
    </row>
    <row r="411" spans="1:19" x14ac:dyDescent="0.35">
      <c r="A411" s="2">
        <v>44470</v>
      </c>
      <c r="B411" s="2" t="str">
        <f>TEXT(Bike_Sales[[#This Row],[Date]],"mmmm")</f>
        <v>October</v>
      </c>
      <c r="C411" s="19">
        <f>MONTH(Bike_Sales[[#This Row],[Date]])</f>
        <v>10</v>
      </c>
      <c r="D411" s="2" t="str">
        <f>TEXT(Bike_Sales[[#This Row],[Date]],"dddd")</f>
        <v>Friday</v>
      </c>
      <c r="E411" s="3">
        <v>36</v>
      </c>
      <c r="F411" s="3" t="s">
        <v>135</v>
      </c>
      <c r="G411" s="3" t="s">
        <v>9</v>
      </c>
      <c r="H411" s="3" t="s">
        <v>10</v>
      </c>
      <c r="I411" s="3" t="s">
        <v>11</v>
      </c>
      <c r="J411" s="3" t="s">
        <v>102</v>
      </c>
      <c r="K411" s="3" t="s">
        <v>23</v>
      </c>
      <c r="L411" s="4">
        <v>1</v>
      </c>
      <c r="M411" s="3">
        <v>620</v>
      </c>
      <c r="N411" s="3">
        <v>980</v>
      </c>
      <c r="O411" s="15">
        <f>Bike_Sales[[#This Row],[Order_Quantity]]*Bike_Sales[[#This Row],[Unit_Price]]</f>
        <v>980</v>
      </c>
      <c r="P411" s="15">
        <f>Bike_Sales[[#This Row],[Order_Quantity]]*Bike_Sales[[#This Row],[Unit_Cost]]</f>
        <v>620</v>
      </c>
      <c r="Q411" s="15">
        <f>Bike_Sales[[#This Row],[Total Sales]]-Bike_Sales[[#This Row],[Total Cost]]</f>
        <v>360</v>
      </c>
      <c r="R411" s="17">
        <f>Bike_Sales[[#This Row],[Profit]]/Bike_Sales[[#This Row],[Total Sales]]</f>
        <v>0.36734693877551022</v>
      </c>
      <c r="S411" s="16" t="str">
        <f t="shared" si="6"/>
        <v>35-44</v>
      </c>
    </row>
    <row r="412" spans="1:19" x14ac:dyDescent="0.35">
      <c r="A412" s="2">
        <v>44472</v>
      </c>
      <c r="B412" s="2" t="str">
        <f>TEXT(Bike_Sales[[#This Row],[Date]],"mmmm")</f>
        <v>October</v>
      </c>
      <c r="C412" s="19">
        <f>MONTH(Bike_Sales[[#This Row],[Date]])</f>
        <v>10</v>
      </c>
      <c r="D412" s="2" t="str">
        <f>TEXT(Bike_Sales[[#This Row],[Date]],"dddd")</f>
        <v>Sunday</v>
      </c>
      <c r="E412" s="3">
        <v>36</v>
      </c>
      <c r="F412" s="3" t="s">
        <v>126</v>
      </c>
      <c r="G412" s="3" t="s">
        <v>18</v>
      </c>
      <c r="H412" s="3" t="s">
        <v>21</v>
      </c>
      <c r="I412" s="3" t="s">
        <v>11</v>
      </c>
      <c r="J412" s="3" t="s">
        <v>104</v>
      </c>
      <c r="K412" s="3" t="s">
        <v>34</v>
      </c>
      <c r="L412" s="4">
        <v>1</v>
      </c>
      <c r="M412" s="3">
        <v>500</v>
      </c>
      <c r="N412" s="3">
        <v>800</v>
      </c>
      <c r="O412" s="15">
        <f>Bike_Sales[[#This Row],[Order_Quantity]]*Bike_Sales[[#This Row],[Unit_Price]]</f>
        <v>800</v>
      </c>
      <c r="P412" s="15">
        <f>Bike_Sales[[#This Row],[Order_Quantity]]*Bike_Sales[[#This Row],[Unit_Cost]]</f>
        <v>500</v>
      </c>
      <c r="Q412" s="15">
        <f>Bike_Sales[[#This Row],[Total Sales]]-Bike_Sales[[#This Row],[Total Cost]]</f>
        <v>300</v>
      </c>
      <c r="R412" s="17">
        <f>Bike_Sales[[#This Row],[Profit]]/Bike_Sales[[#This Row],[Total Sales]]</f>
        <v>0.375</v>
      </c>
      <c r="S412" s="16" t="str">
        <f t="shared" si="6"/>
        <v>35-44</v>
      </c>
    </row>
    <row r="413" spans="1:19" x14ac:dyDescent="0.35">
      <c r="A413" s="2">
        <v>44476</v>
      </c>
      <c r="B413" s="2" t="str">
        <f>TEXT(Bike_Sales[[#This Row],[Date]],"mmmm")</f>
        <v>October</v>
      </c>
      <c r="C413" s="19">
        <f>MONTH(Bike_Sales[[#This Row],[Date]])</f>
        <v>10</v>
      </c>
      <c r="D413" s="2" t="str">
        <f>TEXT(Bike_Sales[[#This Row],[Date]],"dddd")</f>
        <v>Thursday</v>
      </c>
      <c r="E413" s="3">
        <v>36</v>
      </c>
      <c r="F413" s="3" t="s">
        <v>135</v>
      </c>
      <c r="G413" s="3" t="s">
        <v>18</v>
      </c>
      <c r="H413" s="3" t="s">
        <v>19</v>
      </c>
      <c r="I413" s="3" t="s">
        <v>11</v>
      </c>
      <c r="J413" s="3" t="s">
        <v>104</v>
      </c>
      <c r="K413" s="3" t="s">
        <v>51</v>
      </c>
      <c r="L413" s="4">
        <v>3</v>
      </c>
      <c r="M413" s="3">
        <v>530</v>
      </c>
      <c r="N413" s="3">
        <v>840</v>
      </c>
      <c r="O413" s="15">
        <f>Bike_Sales[[#This Row],[Order_Quantity]]*Bike_Sales[[#This Row],[Unit_Price]]</f>
        <v>2520</v>
      </c>
      <c r="P413" s="15">
        <f>Bike_Sales[[#This Row],[Order_Quantity]]*Bike_Sales[[#This Row],[Unit_Cost]]</f>
        <v>1590</v>
      </c>
      <c r="Q413" s="15">
        <f>Bike_Sales[[#This Row],[Total Sales]]-Bike_Sales[[#This Row],[Total Cost]]</f>
        <v>930</v>
      </c>
      <c r="R413" s="17">
        <f>Bike_Sales[[#This Row],[Profit]]/Bike_Sales[[#This Row],[Total Sales]]</f>
        <v>0.36904761904761907</v>
      </c>
      <c r="S413" s="16" t="str">
        <f t="shared" si="6"/>
        <v>35-44</v>
      </c>
    </row>
    <row r="414" spans="1:19" x14ac:dyDescent="0.35">
      <c r="A414" s="2">
        <v>44479</v>
      </c>
      <c r="B414" s="2" t="str">
        <f>TEXT(Bike_Sales[[#This Row],[Date]],"mmmm")</f>
        <v>October</v>
      </c>
      <c r="C414" s="19">
        <f>MONTH(Bike_Sales[[#This Row],[Date]])</f>
        <v>10</v>
      </c>
      <c r="D414" s="2" t="str">
        <f>TEXT(Bike_Sales[[#This Row],[Date]],"dddd")</f>
        <v>Sunday</v>
      </c>
      <c r="E414" s="3">
        <v>36</v>
      </c>
      <c r="F414" s="3" t="s">
        <v>135</v>
      </c>
      <c r="G414" s="3" t="s">
        <v>9</v>
      </c>
      <c r="H414" s="3" t="s">
        <v>10</v>
      </c>
      <c r="I414" s="3" t="s">
        <v>11</v>
      </c>
      <c r="J414" s="3" t="s">
        <v>102</v>
      </c>
      <c r="K414" s="3" t="s">
        <v>23</v>
      </c>
      <c r="L414" s="4">
        <v>1</v>
      </c>
      <c r="M414" s="3">
        <v>620</v>
      </c>
      <c r="N414" s="3">
        <v>980</v>
      </c>
      <c r="O414" s="15">
        <f>Bike_Sales[[#This Row],[Order_Quantity]]*Bike_Sales[[#This Row],[Unit_Price]]</f>
        <v>980</v>
      </c>
      <c r="P414" s="15">
        <f>Bike_Sales[[#This Row],[Order_Quantity]]*Bike_Sales[[#This Row],[Unit_Cost]]</f>
        <v>620</v>
      </c>
      <c r="Q414" s="15">
        <f>Bike_Sales[[#This Row],[Total Sales]]-Bike_Sales[[#This Row],[Total Cost]]</f>
        <v>360</v>
      </c>
      <c r="R414" s="17">
        <f>Bike_Sales[[#This Row],[Profit]]/Bike_Sales[[#This Row],[Total Sales]]</f>
        <v>0.36734693877551022</v>
      </c>
      <c r="S414" s="16" t="str">
        <f t="shared" si="6"/>
        <v>35-44</v>
      </c>
    </row>
    <row r="415" spans="1:19" x14ac:dyDescent="0.35">
      <c r="A415" s="2">
        <v>44485</v>
      </c>
      <c r="B415" s="2" t="str">
        <f>TEXT(Bike_Sales[[#This Row],[Date]],"mmmm")</f>
        <v>October</v>
      </c>
      <c r="C415" s="19">
        <f>MONTH(Bike_Sales[[#This Row],[Date]])</f>
        <v>10</v>
      </c>
      <c r="D415" s="2" t="str">
        <f>TEXT(Bike_Sales[[#This Row],[Date]],"dddd")</f>
        <v>Saturday</v>
      </c>
      <c r="E415" s="3">
        <v>36</v>
      </c>
      <c r="F415" s="3" t="s">
        <v>135</v>
      </c>
      <c r="G415" s="3" t="s">
        <v>18</v>
      </c>
      <c r="H415" s="3" t="s">
        <v>19</v>
      </c>
      <c r="I415" s="3" t="s">
        <v>11</v>
      </c>
      <c r="J415" s="3" t="s">
        <v>104</v>
      </c>
      <c r="K415" s="3" t="s">
        <v>51</v>
      </c>
      <c r="L415" s="4">
        <v>3</v>
      </c>
      <c r="M415" s="3">
        <v>530</v>
      </c>
      <c r="N415" s="3">
        <v>840</v>
      </c>
      <c r="O415" s="15">
        <f>Bike_Sales[[#This Row],[Order_Quantity]]*Bike_Sales[[#This Row],[Unit_Price]]</f>
        <v>2520</v>
      </c>
      <c r="P415" s="15">
        <f>Bike_Sales[[#This Row],[Order_Quantity]]*Bike_Sales[[#This Row],[Unit_Cost]]</f>
        <v>1590</v>
      </c>
      <c r="Q415" s="15">
        <f>Bike_Sales[[#This Row],[Total Sales]]-Bike_Sales[[#This Row],[Total Cost]]</f>
        <v>930</v>
      </c>
      <c r="R415" s="17">
        <f>Bike_Sales[[#This Row],[Profit]]/Bike_Sales[[#This Row],[Total Sales]]</f>
        <v>0.36904761904761907</v>
      </c>
      <c r="S415" s="16" t="str">
        <f t="shared" si="6"/>
        <v>35-44</v>
      </c>
    </row>
    <row r="416" spans="1:19" x14ac:dyDescent="0.35">
      <c r="A416" s="2">
        <v>44492</v>
      </c>
      <c r="B416" s="2" t="str">
        <f>TEXT(Bike_Sales[[#This Row],[Date]],"mmmm")</f>
        <v>October</v>
      </c>
      <c r="C416" s="19">
        <f>MONTH(Bike_Sales[[#This Row],[Date]])</f>
        <v>10</v>
      </c>
      <c r="D416" s="2" t="str">
        <f>TEXT(Bike_Sales[[#This Row],[Date]],"dddd")</f>
        <v>Saturday</v>
      </c>
      <c r="E416" s="3">
        <v>36</v>
      </c>
      <c r="F416" s="3" t="s">
        <v>126</v>
      </c>
      <c r="G416" s="3" t="s">
        <v>39</v>
      </c>
      <c r="H416" s="3" t="s">
        <v>40</v>
      </c>
      <c r="I416" s="3" t="s">
        <v>11</v>
      </c>
      <c r="J416" s="3" t="s">
        <v>104</v>
      </c>
      <c r="K416" s="3" t="s">
        <v>51</v>
      </c>
      <c r="L416" s="4">
        <v>1</v>
      </c>
      <c r="M416" s="3">
        <v>530</v>
      </c>
      <c r="N416" s="3">
        <v>840</v>
      </c>
      <c r="O416" s="15">
        <f>Bike_Sales[[#This Row],[Order_Quantity]]*Bike_Sales[[#This Row],[Unit_Price]]</f>
        <v>840</v>
      </c>
      <c r="P416" s="15">
        <f>Bike_Sales[[#This Row],[Order_Quantity]]*Bike_Sales[[#This Row],[Unit_Cost]]</f>
        <v>530</v>
      </c>
      <c r="Q416" s="15">
        <f>Bike_Sales[[#This Row],[Total Sales]]-Bike_Sales[[#This Row],[Total Cost]]</f>
        <v>310</v>
      </c>
      <c r="R416" s="17">
        <f>Bike_Sales[[#This Row],[Profit]]/Bike_Sales[[#This Row],[Total Sales]]</f>
        <v>0.36904761904761907</v>
      </c>
      <c r="S416" s="16" t="str">
        <f t="shared" si="6"/>
        <v>35-44</v>
      </c>
    </row>
    <row r="417" spans="1:19" x14ac:dyDescent="0.35">
      <c r="A417" s="2">
        <v>44496</v>
      </c>
      <c r="B417" s="2" t="str">
        <f>TEXT(Bike_Sales[[#This Row],[Date]],"mmmm")</f>
        <v>October</v>
      </c>
      <c r="C417" s="19">
        <f>MONTH(Bike_Sales[[#This Row],[Date]])</f>
        <v>10</v>
      </c>
      <c r="D417" s="2" t="str">
        <f>TEXT(Bike_Sales[[#This Row],[Date]],"dddd")</f>
        <v>Wednesday</v>
      </c>
      <c r="E417" s="3">
        <v>36</v>
      </c>
      <c r="F417" s="3" t="s">
        <v>135</v>
      </c>
      <c r="G417" s="3" t="s">
        <v>18</v>
      </c>
      <c r="H417" s="3" t="s">
        <v>35</v>
      </c>
      <c r="I417" s="3" t="s">
        <v>11</v>
      </c>
      <c r="J417" s="3" t="s">
        <v>104</v>
      </c>
      <c r="K417" s="3" t="s">
        <v>34</v>
      </c>
      <c r="L417" s="4">
        <v>1</v>
      </c>
      <c r="M417" s="3">
        <v>500</v>
      </c>
      <c r="N417" s="3">
        <v>800</v>
      </c>
      <c r="O417" s="15">
        <f>Bike_Sales[[#This Row],[Order_Quantity]]*Bike_Sales[[#This Row],[Unit_Price]]</f>
        <v>800</v>
      </c>
      <c r="P417" s="15">
        <f>Bike_Sales[[#This Row],[Order_Quantity]]*Bike_Sales[[#This Row],[Unit_Cost]]</f>
        <v>500</v>
      </c>
      <c r="Q417" s="15">
        <f>Bike_Sales[[#This Row],[Total Sales]]-Bike_Sales[[#This Row],[Total Cost]]</f>
        <v>300</v>
      </c>
      <c r="R417" s="17">
        <f>Bike_Sales[[#This Row],[Profit]]/Bike_Sales[[#This Row],[Total Sales]]</f>
        <v>0.375</v>
      </c>
      <c r="S417" s="16" t="str">
        <f t="shared" si="6"/>
        <v>35-44</v>
      </c>
    </row>
    <row r="418" spans="1:19" x14ac:dyDescent="0.35">
      <c r="A418" s="2">
        <v>44499</v>
      </c>
      <c r="B418" s="2" t="str">
        <f>TEXT(Bike_Sales[[#This Row],[Date]],"mmmm")</f>
        <v>October</v>
      </c>
      <c r="C418" s="19">
        <f>MONTH(Bike_Sales[[#This Row],[Date]])</f>
        <v>10</v>
      </c>
      <c r="D418" s="2" t="str">
        <f>TEXT(Bike_Sales[[#This Row],[Date]],"dddd")</f>
        <v>Saturday</v>
      </c>
      <c r="E418" s="3">
        <v>36</v>
      </c>
      <c r="F418" s="3" t="s">
        <v>135</v>
      </c>
      <c r="G418" s="3" t="s">
        <v>9</v>
      </c>
      <c r="H418" s="3" t="s">
        <v>69</v>
      </c>
      <c r="I418" s="3" t="s">
        <v>11</v>
      </c>
      <c r="J418" s="3" t="s">
        <v>101</v>
      </c>
      <c r="K418" s="3" t="s">
        <v>41</v>
      </c>
      <c r="L418" s="4">
        <v>1</v>
      </c>
      <c r="M418" s="3">
        <v>580</v>
      </c>
      <c r="N418" s="3">
        <v>920</v>
      </c>
      <c r="O418" s="15">
        <f>Bike_Sales[[#This Row],[Order_Quantity]]*Bike_Sales[[#This Row],[Unit_Price]]</f>
        <v>920</v>
      </c>
      <c r="P418" s="15">
        <f>Bike_Sales[[#This Row],[Order_Quantity]]*Bike_Sales[[#This Row],[Unit_Cost]]</f>
        <v>580</v>
      </c>
      <c r="Q418" s="15">
        <f>Bike_Sales[[#This Row],[Total Sales]]-Bike_Sales[[#This Row],[Total Cost]]</f>
        <v>340</v>
      </c>
      <c r="R418" s="17">
        <f>Bike_Sales[[#This Row],[Profit]]/Bike_Sales[[#This Row],[Total Sales]]</f>
        <v>0.36956521739130432</v>
      </c>
      <c r="S418" s="16" t="str">
        <f t="shared" si="6"/>
        <v>35-44</v>
      </c>
    </row>
    <row r="419" spans="1:19" x14ac:dyDescent="0.35">
      <c r="A419" s="2">
        <v>44506</v>
      </c>
      <c r="B419" s="2" t="str">
        <f>TEXT(Bike_Sales[[#This Row],[Date]],"mmmm")</f>
        <v>November</v>
      </c>
      <c r="C419" s="19">
        <f>MONTH(Bike_Sales[[#This Row],[Date]])</f>
        <v>11</v>
      </c>
      <c r="D419" s="2" t="str">
        <f>TEXT(Bike_Sales[[#This Row],[Date]],"dddd")</f>
        <v>Saturday</v>
      </c>
      <c r="E419" s="3">
        <v>36</v>
      </c>
      <c r="F419" s="3" t="s">
        <v>135</v>
      </c>
      <c r="G419" s="3" t="s">
        <v>9</v>
      </c>
      <c r="H419" s="3" t="s">
        <v>10</v>
      </c>
      <c r="I419" s="3" t="s">
        <v>11</v>
      </c>
      <c r="J419" s="3" t="s">
        <v>102</v>
      </c>
      <c r="K419" s="3" t="s">
        <v>23</v>
      </c>
      <c r="L419" s="4">
        <v>2</v>
      </c>
      <c r="M419" s="3">
        <v>620</v>
      </c>
      <c r="N419" s="3">
        <v>980</v>
      </c>
      <c r="O419" s="15">
        <f>Bike_Sales[[#This Row],[Order_Quantity]]*Bike_Sales[[#This Row],[Unit_Price]]</f>
        <v>1960</v>
      </c>
      <c r="P419" s="15">
        <f>Bike_Sales[[#This Row],[Order_Quantity]]*Bike_Sales[[#This Row],[Unit_Cost]]</f>
        <v>1240</v>
      </c>
      <c r="Q419" s="15">
        <f>Bike_Sales[[#This Row],[Total Sales]]-Bike_Sales[[#This Row],[Total Cost]]</f>
        <v>720</v>
      </c>
      <c r="R419" s="17">
        <f>Bike_Sales[[#This Row],[Profit]]/Bike_Sales[[#This Row],[Total Sales]]</f>
        <v>0.36734693877551022</v>
      </c>
      <c r="S419" s="16" t="str">
        <f t="shared" si="6"/>
        <v>35-44</v>
      </c>
    </row>
    <row r="420" spans="1:19" x14ac:dyDescent="0.35">
      <c r="A420" s="2">
        <v>44526</v>
      </c>
      <c r="B420" s="2" t="str">
        <f>TEXT(Bike_Sales[[#This Row],[Date]],"mmmm")</f>
        <v>November</v>
      </c>
      <c r="C420" s="19">
        <f>MONTH(Bike_Sales[[#This Row],[Date]])</f>
        <v>11</v>
      </c>
      <c r="D420" s="2" t="str">
        <f>TEXT(Bike_Sales[[#This Row],[Date]],"dddd")</f>
        <v>Friday</v>
      </c>
      <c r="E420" s="3">
        <v>36</v>
      </c>
      <c r="F420" s="3" t="s">
        <v>126</v>
      </c>
      <c r="G420" s="3" t="s">
        <v>33</v>
      </c>
      <c r="H420" s="3" t="s">
        <v>73</v>
      </c>
      <c r="I420" s="3" t="s">
        <v>16</v>
      </c>
      <c r="J420" s="3" t="s">
        <v>101</v>
      </c>
      <c r="K420" s="3" t="s">
        <v>17</v>
      </c>
      <c r="L420" s="4">
        <v>1</v>
      </c>
      <c r="M420" s="3">
        <v>550</v>
      </c>
      <c r="N420" s="3">
        <v>850</v>
      </c>
      <c r="O420" s="15">
        <f>Bike_Sales[[#This Row],[Order_Quantity]]*Bike_Sales[[#This Row],[Unit_Price]]</f>
        <v>850</v>
      </c>
      <c r="P420" s="15">
        <f>Bike_Sales[[#This Row],[Order_Quantity]]*Bike_Sales[[#This Row],[Unit_Cost]]</f>
        <v>550</v>
      </c>
      <c r="Q420" s="15">
        <f>Bike_Sales[[#This Row],[Total Sales]]-Bike_Sales[[#This Row],[Total Cost]]</f>
        <v>300</v>
      </c>
      <c r="R420" s="17">
        <f>Bike_Sales[[#This Row],[Profit]]/Bike_Sales[[#This Row],[Total Sales]]</f>
        <v>0.35294117647058826</v>
      </c>
      <c r="S420" s="16" t="str">
        <f t="shared" si="6"/>
        <v>35-44</v>
      </c>
    </row>
    <row r="421" spans="1:19" x14ac:dyDescent="0.35">
      <c r="A421" s="2">
        <v>44530</v>
      </c>
      <c r="B421" s="2" t="str">
        <f>TEXT(Bike_Sales[[#This Row],[Date]],"mmmm")</f>
        <v>November</v>
      </c>
      <c r="C421" s="19">
        <f>MONTH(Bike_Sales[[#This Row],[Date]])</f>
        <v>11</v>
      </c>
      <c r="D421" s="2" t="str">
        <f>TEXT(Bike_Sales[[#This Row],[Date]],"dddd")</f>
        <v>Tuesday</v>
      </c>
      <c r="E421" s="3">
        <v>36</v>
      </c>
      <c r="F421" s="3" t="s">
        <v>135</v>
      </c>
      <c r="G421" s="3" t="s">
        <v>9</v>
      </c>
      <c r="H421" s="3" t="s">
        <v>10</v>
      </c>
      <c r="I421" s="3" t="s">
        <v>11</v>
      </c>
      <c r="J421" s="3" t="s">
        <v>102</v>
      </c>
      <c r="K421" s="3" t="s">
        <v>23</v>
      </c>
      <c r="L421" s="4">
        <v>1</v>
      </c>
      <c r="M421" s="3">
        <v>620</v>
      </c>
      <c r="N421" s="3">
        <v>980</v>
      </c>
      <c r="O421" s="15">
        <f>Bike_Sales[[#This Row],[Order_Quantity]]*Bike_Sales[[#This Row],[Unit_Price]]</f>
        <v>980</v>
      </c>
      <c r="P421" s="15">
        <f>Bike_Sales[[#This Row],[Order_Quantity]]*Bike_Sales[[#This Row],[Unit_Cost]]</f>
        <v>620</v>
      </c>
      <c r="Q421" s="15">
        <f>Bike_Sales[[#This Row],[Total Sales]]-Bike_Sales[[#This Row],[Total Cost]]</f>
        <v>360</v>
      </c>
      <c r="R421" s="17">
        <f>Bike_Sales[[#This Row],[Profit]]/Bike_Sales[[#This Row],[Total Sales]]</f>
        <v>0.36734693877551022</v>
      </c>
      <c r="S421" s="16" t="str">
        <f t="shared" si="6"/>
        <v>35-44</v>
      </c>
    </row>
    <row r="422" spans="1:19" x14ac:dyDescent="0.35">
      <c r="A422" s="2">
        <v>44531</v>
      </c>
      <c r="B422" s="2" t="str">
        <f>TEXT(Bike_Sales[[#This Row],[Date]],"mmmm")</f>
        <v>December</v>
      </c>
      <c r="C422" s="19">
        <f>MONTH(Bike_Sales[[#This Row],[Date]])</f>
        <v>12</v>
      </c>
      <c r="D422" s="2" t="str">
        <f>TEXT(Bike_Sales[[#This Row],[Date]],"dddd")</f>
        <v>Wednesday</v>
      </c>
      <c r="E422" s="3">
        <v>36</v>
      </c>
      <c r="F422" s="3" t="s">
        <v>135</v>
      </c>
      <c r="G422" s="3" t="s">
        <v>33</v>
      </c>
      <c r="H422" s="3" t="s">
        <v>90</v>
      </c>
      <c r="I422" s="3" t="s">
        <v>11</v>
      </c>
      <c r="J422" s="3" t="s">
        <v>104</v>
      </c>
      <c r="K422" s="3" t="s">
        <v>68</v>
      </c>
      <c r="L422" s="4">
        <v>2</v>
      </c>
      <c r="M422" s="3">
        <v>500</v>
      </c>
      <c r="N422" s="3">
        <v>800</v>
      </c>
      <c r="O422" s="15">
        <f>Bike_Sales[[#This Row],[Order_Quantity]]*Bike_Sales[[#This Row],[Unit_Price]]</f>
        <v>1600</v>
      </c>
      <c r="P422" s="15">
        <f>Bike_Sales[[#This Row],[Order_Quantity]]*Bike_Sales[[#This Row],[Unit_Cost]]</f>
        <v>1000</v>
      </c>
      <c r="Q422" s="15">
        <f>Bike_Sales[[#This Row],[Total Sales]]-Bike_Sales[[#This Row],[Total Cost]]</f>
        <v>600</v>
      </c>
      <c r="R422" s="17">
        <f>Bike_Sales[[#This Row],[Profit]]/Bike_Sales[[#This Row],[Total Sales]]</f>
        <v>0.375</v>
      </c>
      <c r="S422" s="16" t="str">
        <f t="shared" si="6"/>
        <v>35-44</v>
      </c>
    </row>
    <row r="423" spans="1:19" x14ac:dyDescent="0.35">
      <c r="A423" s="2">
        <v>44536</v>
      </c>
      <c r="B423" s="2" t="str">
        <f>TEXT(Bike_Sales[[#This Row],[Date]],"mmmm")</f>
        <v>December</v>
      </c>
      <c r="C423" s="19">
        <f>MONTH(Bike_Sales[[#This Row],[Date]])</f>
        <v>12</v>
      </c>
      <c r="D423" s="2" t="str">
        <f>TEXT(Bike_Sales[[#This Row],[Date]],"dddd")</f>
        <v>Monday</v>
      </c>
      <c r="E423" s="3">
        <v>36</v>
      </c>
      <c r="F423" s="3" t="s">
        <v>126</v>
      </c>
      <c r="G423" s="3" t="s">
        <v>18</v>
      </c>
      <c r="H423" s="3" t="s">
        <v>24</v>
      </c>
      <c r="I423" s="3" t="s">
        <v>16</v>
      </c>
      <c r="J423" s="3" t="s">
        <v>101</v>
      </c>
      <c r="K423" s="3" t="s">
        <v>25</v>
      </c>
      <c r="L423" s="4">
        <v>1</v>
      </c>
      <c r="M423" s="3">
        <v>550</v>
      </c>
      <c r="N423" s="3">
        <v>850</v>
      </c>
      <c r="O423" s="15">
        <f>Bike_Sales[[#This Row],[Order_Quantity]]*Bike_Sales[[#This Row],[Unit_Price]]</f>
        <v>850</v>
      </c>
      <c r="P423" s="15">
        <f>Bike_Sales[[#This Row],[Order_Quantity]]*Bike_Sales[[#This Row],[Unit_Cost]]</f>
        <v>550</v>
      </c>
      <c r="Q423" s="15">
        <f>Bike_Sales[[#This Row],[Total Sales]]-Bike_Sales[[#This Row],[Total Cost]]</f>
        <v>300</v>
      </c>
      <c r="R423" s="17">
        <f>Bike_Sales[[#This Row],[Profit]]/Bike_Sales[[#This Row],[Total Sales]]</f>
        <v>0.35294117647058826</v>
      </c>
      <c r="S423" s="16" t="str">
        <f t="shared" si="6"/>
        <v>35-44</v>
      </c>
    </row>
    <row r="424" spans="1:19" x14ac:dyDescent="0.35">
      <c r="A424" s="2">
        <v>44537</v>
      </c>
      <c r="B424" s="2" t="str">
        <f>TEXT(Bike_Sales[[#This Row],[Date]],"mmmm")</f>
        <v>December</v>
      </c>
      <c r="C424" s="19">
        <f>MONTH(Bike_Sales[[#This Row],[Date]])</f>
        <v>12</v>
      </c>
      <c r="D424" s="2" t="str">
        <f>TEXT(Bike_Sales[[#This Row],[Date]],"dddd")</f>
        <v>Tuesday</v>
      </c>
      <c r="E424" s="3">
        <v>36</v>
      </c>
      <c r="F424" s="3" t="s">
        <v>135</v>
      </c>
      <c r="G424" s="3" t="s">
        <v>33</v>
      </c>
      <c r="H424" s="3" t="s">
        <v>136</v>
      </c>
      <c r="I424" s="3" t="s">
        <v>11</v>
      </c>
      <c r="J424" s="3" t="s">
        <v>102</v>
      </c>
      <c r="K424" s="3" t="s">
        <v>47</v>
      </c>
      <c r="L424" s="4">
        <v>4</v>
      </c>
      <c r="M424" s="3">
        <v>900</v>
      </c>
      <c r="N424" s="3">
        <v>1400</v>
      </c>
      <c r="O424" s="15">
        <f>Bike_Sales[[#This Row],[Order_Quantity]]*Bike_Sales[[#This Row],[Unit_Price]]</f>
        <v>5600</v>
      </c>
      <c r="P424" s="15">
        <f>Bike_Sales[[#This Row],[Order_Quantity]]*Bike_Sales[[#This Row],[Unit_Cost]]</f>
        <v>3600</v>
      </c>
      <c r="Q424" s="15">
        <f>Bike_Sales[[#This Row],[Total Sales]]-Bike_Sales[[#This Row],[Total Cost]]</f>
        <v>2000</v>
      </c>
      <c r="R424" s="17">
        <f>Bike_Sales[[#This Row],[Profit]]/Bike_Sales[[#This Row],[Total Sales]]</f>
        <v>0.35714285714285715</v>
      </c>
      <c r="S424" s="16" t="str">
        <f t="shared" si="6"/>
        <v>35-44</v>
      </c>
    </row>
    <row r="425" spans="1:19" x14ac:dyDescent="0.35">
      <c r="A425" s="2">
        <v>44537</v>
      </c>
      <c r="B425" s="2" t="str">
        <f>TEXT(Bike_Sales[[#This Row],[Date]],"mmmm")</f>
        <v>December</v>
      </c>
      <c r="C425" s="19">
        <f>MONTH(Bike_Sales[[#This Row],[Date]])</f>
        <v>12</v>
      </c>
      <c r="D425" s="2" t="str">
        <f>TEXT(Bike_Sales[[#This Row],[Date]],"dddd")</f>
        <v>Tuesday</v>
      </c>
      <c r="E425" s="3">
        <v>36</v>
      </c>
      <c r="F425" s="3" t="s">
        <v>135</v>
      </c>
      <c r="G425" s="3" t="s">
        <v>18</v>
      </c>
      <c r="H425" s="3" t="s">
        <v>24</v>
      </c>
      <c r="I425" s="3" t="s">
        <v>11</v>
      </c>
      <c r="J425" s="3" t="s">
        <v>104</v>
      </c>
      <c r="K425" s="3" t="s">
        <v>20</v>
      </c>
      <c r="L425" s="4">
        <v>1</v>
      </c>
      <c r="M425" s="3">
        <v>530</v>
      </c>
      <c r="N425" s="3">
        <v>840</v>
      </c>
      <c r="O425" s="15">
        <f>Bike_Sales[[#This Row],[Order_Quantity]]*Bike_Sales[[#This Row],[Unit_Price]]</f>
        <v>840</v>
      </c>
      <c r="P425" s="15">
        <f>Bike_Sales[[#This Row],[Order_Quantity]]*Bike_Sales[[#This Row],[Unit_Cost]]</f>
        <v>530</v>
      </c>
      <c r="Q425" s="15">
        <f>Bike_Sales[[#This Row],[Total Sales]]-Bike_Sales[[#This Row],[Total Cost]]</f>
        <v>310</v>
      </c>
      <c r="R425" s="17">
        <f>Bike_Sales[[#This Row],[Profit]]/Bike_Sales[[#This Row],[Total Sales]]</f>
        <v>0.36904761904761907</v>
      </c>
      <c r="S425" s="16" t="str">
        <f t="shared" si="6"/>
        <v>35-44</v>
      </c>
    </row>
    <row r="426" spans="1:19" x14ac:dyDescent="0.35">
      <c r="A426" s="2">
        <v>44538</v>
      </c>
      <c r="B426" s="2" t="str">
        <f>TEXT(Bike_Sales[[#This Row],[Date]],"mmmm")</f>
        <v>December</v>
      </c>
      <c r="C426" s="19">
        <f>MONTH(Bike_Sales[[#This Row],[Date]])</f>
        <v>12</v>
      </c>
      <c r="D426" s="2" t="str">
        <f>TEXT(Bike_Sales[[#This Row],[Date]],"dddd")</f>
        <v>Wednesday</v>
      </c>
      <c r="E426" s="3">
        <v>36</v>
      </c>
      <c r="F426" s="3" t="s">
        <v>135</v>
      </c>
      <c r="G426" s="3" t="s">
        <v>18</v>
      </c>
      <c r="H426" s="3" t="s">
        <v>24</v>
      </c>
      <c r="I426" s="3" t="s">
        <v>11</v>
      </c>
      <c r="J426" s="3" t="s">
        <v>104</v>
      </c>
      <c r="K426" s="3" t="s">
        <v>20</v>
      </c>
      <c r="L426" s="4">
        <v>4</v>
      </c>
      <c r="M426" s="3">
        <v>530</v>
      </c>
      <c r="N426" s="3">
        <v>840</v>
      </c>
      <c r="O426" s="15">
        <f>Bike_Sales[[#This Row],[Order_Quantity]]*Bike_Sales[[#This Row],[Unit_Price]]</f>
        <v>3360</v>
      </c>
      <c r="P426" s="15">
        <f>Bike_Sales[[#This Row],[Order_Quantity]]*Bike_Sales[[#This Row],[Unit_Cost]]</f>
        <v>2120</v>
      </c>
      <c r="Q426" s="15">
        <f>Bike_Sales[[#This Row],[Total Sales]]-Bike_Sales[[#This Row],[Total Cost]]</f>
        <v>1240</v>
      </c>
      <c r="R426" s="17">
        <f>Bike_Sales[[#This Row],[Profit]]/Bike_Sales[[#This Row],[Total Sales]]</f>
        <v>0.36904761904761907</v>
      </c>
      <c r="S426" s="16" t="str">
        <f t="shared" si="6"/>
        <v>35-44</v>
      </c>
    </row>
    <row r="427" spans="1:19" x14ac:dyDescent="0.35">
      <c r="A427" s="2">
        <v>44541</v>
      </c>
      <c r="B427" s="2" t="str">
        <f>TEXT(Bike_Sales[[#This Row],[Date]],"mmmm")</f>
        <v>December</v>
      </c>
      <c r="C427" s="19">
        <f>MONTH(Bike_Sales[[#This Row],[Date]])</f>
        <v>12</v>
      </c>
      <c r="D427" s="2" t="str">
        <f>TEXT(Bike_Sales[[#This Row],[Date]],"dddd")</f>
        <v>Saturday</v>
      </c>
      <c r="E427" s="3">
        <v>36</v>
      </c>
      <c r="F427" s="3" t="s">
        <v>135</v>
      </c>
      <c r="G427" s="3" t="s">
        <v>18</v>
      </c>
      <c r="H427" s="3" t="s">
        <v>19</v>
      </c>
      <c r="I427" s="3" t="s">
        <v>11</v>
      </c>
      <c r="J427" s="3" t="s">
        <v>104</v>
      </c>
      <c r="K427" s="3" t="s">
        <v>51</v>
      </c>
      <c r="L427" s="4">
        <v>2</v>
      </c>
      <c r="M427" s="3">
        <v>530</v>
      </c>
      <c r="N427" s="3">
        <v>840</v>
      </c>
      <c r="O427" s="15">
        <f>Bike_Sales[[#This Row],[Order_Quantity]]*Bike_Sales[[#This Row],[Unit_Price]]</f>
        <v>1680</v>
      </c>
      <c r="P427" s="15">
        <f>Bike_Sales[[#This Row],[Order_Quantity]]*Bike_Sales[[#This Row],[Unit_Cost]]</f>
        <v>1060</v>
      </c>
      <c r="Q427" s="15">
        <f>Bike_Sales[[#This Row],[Total Sales]]-Bike_Sales[[#This Row],[Total Cost]]</f>
        <v>620</v>
      </c>
      <c r="R427" s="17">
        <f>Bike_Sales[[#This Row],[Profit]]/Bike_Sales[[#This Row],[Total Sales]]</f>
        <v>0.36904761904761907</v>
      </c>
      <c r="S427" s="16" t="str">
        <f t="shared" si="6"/>
        <v>35-44</v>
      </c>
    </row>
    <row r="428" spans="1:19" x14ac:dyDescent="0.35">
      <c r="A428" s="2">
        <v>44542</v>
      </c>
      <c r="B428" s="2" t="str">
        <f>TEXT(Bike_Sales[[#This Row],[Date]],"mmmm")</f>
        <v>December</v>
      </c>
      <c r="C428" s="19">
        <f>MONTH(Bike_Sales[[#This Row],[Date]])</f>
        <v>12</v>
      </c>
      <c r="D428" s="2" t="str">
        <f>TEXT(Bike_Sales[[#This Row],[Date]],"dddd")</f>
        <v>Sunday</v>
      </c>
      <c r="E428" s="3">
        <v>36</v>
      </c>
      <c r="F428" s="3" t="s">
        <v>135</v>
      </c>
      <c r="G428" s="3" t="s">
        <v>18</v>
      </c>
      <c r="H428" s="3" t="s">
        <v>24</v>
      </c>
      <c r="I428" s="3" t="s">
        <v>16</v>
      </c>
      <c r="J428" s="3" t="s">
        <v>103</v>
      </c>
      <c r="K428" s="3" t="s">
        <v>45</v>
      </c>
      <c r="L428" s="4">
        <v>4</v>
      </c>
      <c r="M428" s="3">
        <v>550</v>
      </c>
      <c r="N428" s="3">
        <v>850</v>
      </c>
      <c r="O428" s="15">
        <f>Bike_Sales[[#This Row],[Order_Quantity]]*Bike_Sales[[#This Row],[Unit_Price]]</f>
        <v>3400</v>
      </c>
      <c r="P428" s="15">
        <f>Bike_Sales[[#This Row],[Order_Quantity]]*Bike_Sales[[#This Row],[Unit_Cost]]</f>
        <v>2200</v>
      </c>
      <c r="Q428" s="15">
        <f>Bike_Sales[[#This Row],[Total Sales]]-Bike_Sales[[#This Row],[Total Cost]]</f>
        <v>1200</v>
      </c>
      <c r="R428" s="17">
        <f>Bike_Sales[[#This Row],[Profit]]/Bike_Sales[[#This Row],[Total Sales]]</f>
        <v>0.35294117647058826</v>
      </c>
      <c r="S428" s="16" t="str">
        <f t="shared" si="6"/>
        <v>35-44</v>
      </c>
    </row>
    <row r="429" spans="1:19" x14ac:dyDescent="0.35">
      <c r="A429" s="2">
        <v>44544</v>
      </c>
      <c r="B429" s="2" t="str">
        <f>TEXT(Bike_Sales[[#This Row],[Date]],"mmmm")</f>
        <v>December</v>
      </c>
      <c r="C429" s="19">
        <f>MONTH(Bike_Sales[[#This Row],[Date]])</f>
        <v>12</v>
      </c>
      <c r="D429" s="2" t="str">
        <f>TEXT(Bike_Sales[[#This Row],[Date]],"dddd")</f>
        <v>Tuesday</v>
      </c>
      <c r="E429" s="3">
        <v>36</v>
      </c>
      <c r="F429" s="3" t="s">
        <v>135</v>
      </c>
      <c r="G429" s="3" t="s">
        <v>18</v>
      </c>
      <c r="H429" s="3" t="s">
        <v>21</v>
      </c>
      <c r="I429" s="3" t="s">
        <v>11</v>
      </c>
      <c r="J429" s="3" t="s">
        <v>102</v>
      </c>
      <c r="K429" s="3" t="s">
        <v>29</v>
      </c>
      <c r="L429" s="4">
        <v>2</v>
      </c>
      <c r="M429" s="3">
        <v>900</v>
      </c>
      <c r="N429" s="3">
        <v>1400</v>
      </c>
      <c r="O429" s="15">
        <f>Bike_Sales[[#This Row],[Order_Quantity]]*Bike_Sales[[#This Row],[Unit_Price]]</f>
        <v>2800</v>
      </c>
      <c r="P429" s="15">
        <f>Bike_Sales[[#This Row],[Order_Quantity]]*Bike_Sales[[#This Row],[Unit_Cost]]</f>
        <v>1800</v>
      </c>
      <c r="Q429" s="15">
        <f>Bike_Sales[[#This Row],[Total Sales]]-Bike_Sales[[#This Row],[Total Cost]]</f>
        <v>1000</v>
      </c>
      <c r="R429" s="17">
        <f>Bike_Sales[[#This Row],[Profit]]/Bike_Sales[[#This Row],[Total Sales]]</f>
        <v>0.35714285714285715</v>
      </c>
      <c r="S429" s="16" t="str">
        <f t="shared" si="6"/>
        <v>35-44</v>
      </c>
    </row>
    <row r="430" spans="1:19" x14ac:dyDescent="0.35">
      <c r="A430" s="2">
        <v>44544</v>
      </c>
      <c r="B430" s="2" t="str">
        <f>TEXT(Bike_Sales[[#This Row],[Date]],"mmmm")</f>
        <v>December</v>
      </c>
      <c r="C430" s="19">
        <f>MONTH(Bike_Sales[[#This Row],[Date]])</f>
        <v>12</v>
      </c>
      <c r="D430" s="2" t="str">
        <f>TEXT(Bike_Sales[[#This Row],[Date]],"dddd")</f>
        <v>Tuesday</v>
      </c>
      <c r="E430" s="3">
        <v>36</v>
      </c>
      <c r="F430" s="3" t="s">
        <v>135</v>
      </c>
      <c r="G430" s="3" t="s">
        <v>18</v>
      </c>
      <c r="H430" s="3" t="s">
        <v>35</v>
      </c>
      <c r="I430" s="3" t="s">
        <v>11</v>
      </c>
      <c r="J430" s="3" t="s">
        <v>104</v>
      </c>
      <c r="K430" s="3" t="s">
        <v>34</v>
      </c>
      <c r="L430" s="4">
        <v>1</v>
      </c>
      <c r="M430" s="3">
        <v>500</v>
      </c>
      <c r="N430" s="3">
        <v>800</v>
      </c>
      <c r="O430" s="15">
        <f>Bike_Sales[[#This Row],[Order_Quantity]]*Bike_Sales[[#This Row],[Unit_Price]]</f>
        <v>800</v>
      </c>
      <c r="P430" s="15">
        <f>Bike_Sales[[#This Row],[Order_Quantity]]*Bike_Sales[[#This Row],[Unit_Cost]]</f>
        <v>500</v>
      </c>
      <c r="Q430" s="15">
        <f>Bike_Sales[[#This Row],[Total Sales]]-Bike_Sales[[#This Row],[Total Cost]]</f>
        <v>300</v>
      </c>
      <c r="R430" s="17">
        <f>Bike_Sales[[#This Row],[Profit]]/Bike_Sales[[#This Row],[Total Sales]]</f>
        <v>0.375</v>
      </c>
      <c r="S430" s="16" t="str">
        <f t="shared" si="6"/>
        <v>35-44</v>
      </c>
    </row>
    <row r="431" spans="1:19" x14ac:dyDescent="0.35">
      <c r="A431" s="2">
        <v>44545</v>
      </c>
      <c r="B431" s="2" t="str">
        <f>TEXT(Bike_Sales[[#This Row],[Date]],"mmmm")</f>
        <v>December</v>
      </c>
      <c r="C431" s="19">
        <f>MONTH(Bike_Sales[[#This Row],[Date]])</f>
        <v>12</v>
      </c>
      <c r="D431" s="2" t="str">
        <f>TEXT(Bike_Sales[[#This Row],[Date]],"dddd")</f>
        <v>Wednesday</v>
      </c>
      <c r="E431" s="3">
        <v>36</v>
      </c>
      <c r="F431" s="3" t="s">
        <v>126</v>
      </c>
      <c r="G431" s="3" t="s">
        <v>33</v>
      </c>
      <c r="H431" s="3" t="s">
        <v>56</v>
      </c>
      <c r="I431" s="3" t="s">
        <v>11</v>
      </c>
      <c r="J431" s="3" t="s">
        <v>104</v>
      </c>
      <c r="K431" s="3" t="s">
        <v>52</v>
      </c>
      <c r="L431" s="4">
        <v>3</v>
      </c>
      <c r="M431" s="3">
        <v>530</v>
      </c>
      <c r="N431" s="3">
        <v>840</v>
      </c>
      <c r="O431" s="15">
        <f>Bike_Sales[[#This Row],[Order_Quantity]]*Bike_Sales[[#This Row],[Unit_Price]]</f>
        <v>2520</v>
      </c>
      <c r="P431" s="15">
        <f>Bike_Sales[[#This Row],[Order_Quantity]]*Bike_Sales[[#This Row],[Unit_Cost]]</f>
        <v>1590</v>
      </c>
      <c r="Q431" s="15">
        <f>Bike_Sales[[#This Row],[Total Sales]]-Bike_Sales[[#This Row],[Total Cost]]</f>
        <v>930</v>
      </c>
      <c r="R431" s="17">
        <f>Bike_Sales[[#This Row],[Profit]]/Bike_Sales[[#This Row],[Total Sales]]</f>
        <v>0.36904761904761907</v>
      </c>
      <c r="S431" s="16" t="str">
        <f t="shared" si="6"/>
        <v>35-44</v>
      </c>
    </row>
    <row r="432" spans="1:19" x14ac:dyDescent="0.35">
      <c r="A432" s="2">
        <v>44547</v>
      </c>
      <c r="B432" s="2" t="str">
        <f>TEXT(Bike_Sales[[#This Row],[Date]],"mmmm")</f>
        <v>December</v>
      </c>
      <c r="C432" s="19">
        <f>MONTH(Bike_Sales[[#This Row],[Date]])</f>
        <v>12</v>
      </c>
      <c r="D432" s="2" t="str">
        <f>TEXT(Bike_Sales[[#This Row],[Date]],"dddd")</f>
        <v>Friday</v>
      </c>
      <c r="E432" s="3">
        <v>36</v>
      </c>
      <c r="F432" s="3" t="s">
        <v>135</v>
      </c>
      <c r="G432" s="3" t="s">
        <v>18</v>
      </c>
      <c r="H432" s="3" t="s">
        <v>24</v>
      </c>
      <c r="I432" s="3" t="s">
        <v>11</v>
      </c>
      <c r="J432" s="3" t="s">
        <v>104</v>
      </c>
      <c r="K432" s="3" t="s">
        <v>20</v>
      </c>
      <c r="L432" s="4">
        <v>4</v>
      </c>
      <c r="M432" s="3">
        <v>530</v>
      </c>
      <c r="N432" s="3">
        <v>840</v>
      </c>
      <c r="O432" s="15">
        <f>Bike_Sales[[#This Row],[Order_Quantity]]*Bike_Sales[[#This Row],[Unit_Price]]</f>
        <v>3360</v>
      </c>
      <c r="P432" s="15">
        <f>Bike_Sales[[#This Row],[Order_Quantity]]*Bike_Sales[[#This Row],[Unit_Cost]]</f>
        <v>2120</v>
      </c>
      <c r="Q432" s="15">
        <f>Bike_Sales[[#This Row],[Total Sales]]-Bike_Sales[[#This Row],[Total Cost]]</f>
        <v>1240</v>
      </c>
      <c r="R432" s="17">
        <f>Bike_Sales[[#This Row],[Profit]]/Bike_Sales[[#This Row],[Total Sales]]</f>
        <v>0.36904761904761907</v>
      </c>
      <c r="S432" s="16" t="str">
        <f t="shared" si="6"/>
        <v>35-44</v>
      </c>
    </row>
    <row r="433" spans="1:19" x14ac:dyDescent="0.35">
      <c r="A433" s="2">
        <v>44548</v>
      </c>
      <c r="B433" s="2" t="str">
        <f>TEXT(Bike_Sales[[#This Row],[Date]],"mmmm")</f>
        <v>December</v>
      </c>
      <c r="C433" s="19">
        <f>MONTH(Bike_Sales[[#This Row],[Date]])</f>
        <v>12</v>
      </c>
      <c r="D433" s="2" t="str">
        <f>TEXT(Bike_Sales[[#This Row],[Date]],"dddd")</f>
        <v>Saturday</v>
      </c>
      <c r="E433" s="3">
        <v>36</v>
      </c>
      <c r="F433" s="3" t="s">
        <v>126</v>
      </c>
      <c r="G433" s="3" t="s">
        <v>9</v>
      </c>
      <c r="H433" s="3" t="s">
        <v>37</v>
      </c>
      <c r="I433" s="3" t="s">
        <v>16</v>
      </c>
      <c r="J433" s="3" t="s">
        <v>103</v>
      </c>
      <c r="K433" s="3" t="s">
        <v>22</v>
      </c>
      <c r="L433" s="4">
        <v>1</v>
      </c>
      <c r="M433" s="3">
        <v>550</v>
      </c>
      <c r="N433" s="3">
        <v>850</v>
      </c>
      <c r="O433" s="15">
        <f>Bike_Sales[[#This Row],[Order_Quantity]]*Bike_Sales[[#This Row],[Unit_Price]]</f>
        <v>850</v>
      </c>
      <c r="P433" s="15">
        <f>Bike_Sales[[#This Row],[Order_Quantity]]*Bike_Sales[[#This Row],[Unit_Cost]]</f>
        <v>550</v>
      </c>
      <c r="Q433" s="15">
        <f>Bike_Sales[[#This Row],[Total Sales]]-Bike_Sales[[#This Row],[Total Cost]]</f>
        <v>300</v>
      </c>
      <c r="R433" s="17">
        <f>Bike_Sales[[#This Row],[Profit]]/Bike_Sales[[#This Row],[Total Sales]]</f>
        <v>0.35294117647058826</v>
      </c>
      <c r="S433" s="16" t="str">
        <f t="shared" si="6"/>
        <v>35-44</v>
      </c>
    </row>
    <row r="434" spans="1:19" x14ac:dyDescent="0.35">
      <c r="A434" s="2">
        <v>44554</v>
      </c>
      <c r="B434" s="2" t="str">
        <f>TEXT(Bike_Sales[[#This Row],[Date]],"mmmm")</f>
        <v>December</v>
      </c>
      <c r="C434" s="19">
        <f>MONTH(Bike_Sales[[#This Row],[Date]])</f>
        <v>12</v>
      </c>
      <c r="D434" s="2" t="str">
        <f>TEXT(Bike_Sales[[#This Row],[Date]],"dddd")</f>
        <v>Friday</v>
      </c>
      <c r="E434" s="3">
        <v>36</v>
      </c>
      <c r="F434" s="3" t="s">
        <v>126</v>
      </c>
      <c r="G434" s="3" t="s">
        <v>18</v>
      </c>
      <c r="H434" s="3" t="s">
        <v>19</v>
      </c>
      <c r="I434" s="3" t="s">
        <v>11</v>
      </c>
      <c r="J434" s="3" t="s">
        <v>104</v>
      </c>
      <c r="K434" s="3" t="s">
        <v>77</v>
      </c>
      <c r="L434" s="4">
        <v>2</v>
      </c>
      <c r="M434" s="3">
        <v>500</v>
      </c>
      <c r="N434" s="3">
        <v>800</v>
      </c>
      <c r="O434" s="15">
        <f>Bike_Sales[[#This Row],[Order_Quantity]]*Bike_Sales[[#This Row],[Unit_Price]]</f>
        <v>1600</v>
      </c>
      <c r="P434" s="15">
        <f>Bike_Sales[[#This Row],[Order_Quantity]]*Bike_Sales[[#This Row],[Unit_Cost]]</f>
        <v>1000</v>
      </c>
      <c r="Q434" s="15">
        <f>Bike_Sales[[#This Row],[Total Sales]]-Bike_Sales[[#This Row],[Total Cost]]</f>
        <v>600</v>
      </c>
      <c r="R434" s="17">
        <f>Bike_Sales[[#This Row],[Profit]]/Bike_Sales[[#This Row],[Total Sales]]</f>
        <v>0.375</v>
      </c>
      <c r="S434" s="16" t="str">
        <f t="shared" si="6"/>
        <v>35-44</v>
      </c>
    </row>
    <row r="435" spans="1:19" x14ac:dyDescent="0.35">
      <c r="A435" s="2">
        <v>44554</v>
      </c>
      <c r="B435" s="2" t="str">
        <f>TEXT(Bike_Sales[[#This Row],[Date]],"mmmm")</f>
        <v>December</v>
      </c>
      <c r="C435" s="19">
        <f>MONTH(Bike_Sales[[#This Row],[Date]])</f>
        <v>12</v>
      </c>
      <c r="D435" s="2" t="str">
        <f>TEXT(Bike_Sales[[#This Row],[Date]],"dddd")</f>
        <v>Friday</v>
      </c>
      <c r="E435" s="3">
        <v>36</v>
      </c>
      <c r="F435" s="3" t="s">
        <v>126</v>
      </c>
      <c r="G435" s="3" t="s">
        <v>33</v>
      </c>
      <c r="H435" s="3" t="s">
        <v>73</v>
      </c>
      <c r="I435" s="3" t="s">
        <v>11</v>
      </c>
      <c r="J435" s="3" t="s">
        <v>104</v>
      </c>
      <c r="K435" s="3" t="s">
        <v>34</v>
      </c>
      <c r="L435" s="4">
        <v>1</v>
      </c>
      <c r="M435" s="3">
        <v>500</v>
      </c>
      <c r="N435" s="3">
        <v>800</v>
      </c>
      <c r="O435" s="15">
        <f>Bike_Sales[[#This Row],[Order_Quantity]]*Bike_Sales[[#This Row],[Unit_Price]]</f>
        <v>800</v>
      </c>
      <c r="P435" s="15">
        <f>Bike_Sales[[#This Row],[Order_Quantity]]*Bike_Sales[[#This Row],[Unit_Cost]]</f>
        <v>500</v>
      </c>
      <c r="Q435" s="15">
        <f>Bike_Sales[[#This Row],[Total Sales]]-Bike_Sales[[#This Row],[Total Cost]]</f>
        <v>300</v>
      </c>
      <c r="R435" s="17">
        <f>Bike_Sales[[#This Row],[Profit]]/Bike_Sales[[#This Row],[Total Sales]]</f>
        <v>0.375</v>
      </c>
      <c r="S435" s="16" t="str">
        <f t="shared" si="6"/>
        <v>35-44</v>
      </c>
    </row>
    <row r="436" spans="1:19" x14ac:dyDescent="0.35">
      <c r="A436" s="2">
        <v>44557</v>
      </c>
      <c r="B436" s="2" t="str">
        <f>TEXT(Bike_Sales[[#This Row],[Date]],"mmmm")</f>
        <v>December</v>
      </c>
      <c r="C436" s="19">
        <f>MONTH(Bike_Sales[[#This Row],[Date]])</f>
        <v>12</v>
      </c>
      <c r="D436" s="2" t="str">
        <f>TEXT(Bike_Sales[[#This Row],[Date]],"dddd")</f>
        <v>Monday</v>
      </c>
      <c r="E436" s="3">
        <v>36</v>
      </c>
      <c r="F436" s="3" t="s">
        <v>135</v>
      </c>
      <c r="G436" s="3" t="s">
        <v>33</v>
      </c>
      <c r="H436" s="3" t="s">
        <v>73</v>
      </c>
      <c r="I436" s="3" t="s">
        <v>11</v>
      </c>
      <c r="J436" s="3" t="s">
        <v>101</v>
      </c>
      <c r="K436" s="3" t="s">
        <v>41</v>
      </c>
      <c r="L436" s="4">
        <v>1</v>
      </c>
      <c r="M436" s="3">
        <v>580</v>
      </c>
      <c r="N436" s="3">
        <v>920</v>
      </c>
      <c r="O436" s="15">
        <f>Bike_Sales[[#This Row],[Order_Quantity]]*Bike_Sales[[#This Row],[Unit_Price]]</f>
        <v>920</v>
      </c>
      <c r="P436" s="15">
        <f>Bike_Sales[[#This Row],[Order_Quantity]]*Bike_Sales[[#This Row],[Unit_Cost]]</f>
        <v>580</v>
      </c>
      <c r="Q436" s="15">
        <f>Bike_Sales[[#This Row],[Total Sales]]-Bike_Sales[[#This Row],[Total Cost]]</f>
        <v>340</v>
      </c>
      <c r="R436" s="17">
        <f>Bike_Sales[[#This Row],[Profit]]/Bike_Sales[[#This Row],[Total Sales]]</f>
        <v>0.36956521739130432</v>
      </c>
      <c r="S436" s="16" t="str">
        <f t="shared" si="6"/>
        <v>35-44</v>
      </c>
    </row>
    <row r="437" spans="1:19" x14ac:dyDescent="0.35">
      <c r="A437" s="2">
        <v>44558</v>
      </c>
      <c r="B437" s="2" t="str">
        <f>TEXT(Bike_Sales[[#This Row],[Date]],"mmmm")</f>
        <v>December</v>
      </c>
      <c r="C437" s="19">
        <f>MONTH(Bike_Sales[[#This Row],[Date]])</f>
        <v>12</v>
      </c>
      <c r="D437" s="2" t="str">
        <f>TEXT(Bike_Sales[[#This Row],[Date]],"dddd")</f>
        <v>Tuesday</v>
      </c>
      <c r="E437" s="3">
        <v>36</v>
      </c>
      <c r="F437" s="3" t="s">
        <v>126</v>
      </c>
      <c r="G437" s="3" t="s">
        <v>13</v>
      </c>
      <c r="H437" s="3" t="s">
        <v>127</v>
      </c>
      <c r="I437" s="3" t="s">
        <v>11</v>
      </c>
      <c r="J437" s="3" t="s">
        <v>101</v>
      </c>
      <c r="K437" s="3" t="s">
        <v>67</v>
      </c>
      <c r="L437" s="4">
        <v>3</v>
      </c>
      <c r="M437" s="3">
        <v>700</v>
      </c>
      <c r="N437" s="3">
        <v>1100</v>
      </c>
      <c r="O437" s="15">
        <f>Bike_Sales[[#This Row],[Order_Quantity]]*Bike_Sales[[#This Row],[Unit_Price]]</f>
        <v>3300</v>
      </c>
      <c r="P437" s="15">
        <f>Bike_Sales[[#This Row],[Order_Quantity]]*Bike_Sales[[#This Row],[Unit_Cost]]</f>
        <v>2100</v>
      </c>
      <c r="Q437" s="15">
        <f>Bike_Sales[[#This Row],[Total Sales]]-Bike_Sales[[#This Row],[Total Cost]]</f>
        <v>1200</v>
      </c>
      <c r="R437" s="17">
        <f>Bike_Sales[[#This Row],[Profit]]/Bike_Sales[[#This Row],[Total Sales]]</f>
        <v>0.36363636363636365</v>
      </c>
      <c r="S437" s="16" t="str">
        <f t="shared" si="6"/>
        <v>35-44</v>
      </c>
    </row>
    <row r="438" spans="1:19" x14ac:dyDescent="0.35">
      <c r="A438" s="2">
        <v>44560</v>
      </c>
      <c r="B438" s="2" t="str">
        <f>TEXT(Bike_Sales[[#This Row],[Date]],"mmmm")</f>
        <v>December</v>
      </c>
      <c r="C438" s="19">
        <f>MONTH(Bike_Sales[[#This Row],[Date]])</f>
        <v>12</v>
      </c>
      <c r="D438" s="2" t="str">
        <f>TEXT(Bike_Sales[[#This Row],[Date]],"dddd")</f>
        <v>Thursday</v>
      </c>
      <c r="E438" s="3">
        <v>36</v>
      </c>
      <c r="F438" s="3" t="s">
        <v>126</v>
      </c>
      <c r="G438" s="3" t="s">
        <v>18</v>
      </c>
      <c r="H438" s="3" t="s">
        <v>19</v>
      </c>
      <c r="I438" s="3" t="s">
        <v>11</v>
      </c>
      <c r="J438" s="3" t="s">
        <v>104</v>
      </c>
      <c r="K438" s="3" t="s">
        <v>77</v>
      </c>
      <c r="L438" s="4">
        <v>1</v>
      </c>
      <c r="M438" s="3">
        <v>500</v>
      </c>
      <c r="N438" s="3">
        <v>800</v>
      </c>
      <c r="O438" s="15">
        <f>Bike_Sales[[#This Row],[Order_Quantity]]*Bike_Sales[[#This Row],[Unit_Price]]</f>
        <v>800</v>
      </c>
      <c r="P438" s="15">
        <f>Bike_Sales[[#This Row],[Order_Quantity]]*Bike_Sales[[#This Row],[Unit_Cost]]</f>
        <v>500</v>
      </c>
      <c r="Q438" s="15">
        <f>Bike_Sales[[#This Row],[Total Sales]]-Bike_Sales[[#This Row],[Total Cost]]</f>
        <v>300</v>
      </c>
      <c r="R438" s="17">
        <f>Bike_Sales[[#This Row],[Profit]]/Bike_Sales[[#This Row],[Total Sales]]</f>
        <v>0.375</v>
      </c>
      <c r="S438" s="16" t="str">
        <f t="shared" si="6"/>
        <v>35-44</v>
      </c>
    </row>
    <row r="439" spans="1:19" x14ac:dyDescent="0.35">
      <c r="A439" s="2">
        <v>44561</v>
      </c>
      <c r="B439" s="2" t="str">
        <f>TEXT(Bike_Sales[[#This Row],[Date]],"mmmm")</f>
        <v>December</v>
      </c>
      <c r="C439" s="19">
        <f>MONTH(Bike_Sales[[#This Row],[Date]])</f>
        <v>12</v>
      </c>
      <c r="D439" s="2" t="str">
        <f>TEXT(Bike_Sales[[#This Row],[Date]],"dddd")</f>
        <v>Friday</v>
      </c>
      <c r="E439" s="3">
        <v>36</v>
      </c>
      <c r="F439" s="3" t="s">
        <v>135</v>
      </c>
      <c r="G439" s="3" t="s">
        <v>18</v>
      </c>
      <c r="H439" s="3" t="s">
        <v>24</v>
      </c>
      <c r="I439" s="3" t="s">
        <v>16</v>
      </c>
      <c r="J439" s="3" t="s">
        <v>103</v>
      </c>
      <c r="K439" s="3" t="s">
        <v>45</v>
      </c>
      <c r="L439" s="4">
        <v>3</v>
      </c>
      <c r="M439" s="3">
        <v>550</v>
      </c>
      <c r="N439" s="3">
        <v>850</v>
      </c>
      <c r="O439" s="15">
        <f>Bike_Sales[[#This Row],[Order_Quantity]]*Bike_Sales[[#This Row],[Unit_Price]]</f>
        <v>2550</v>
      </c>
      <c r="P439" s="15">
        <f>Bike_Sales[[#This Row],[Order_Quantity]]*Bike_Sales[[#This Row],[Unit_Cost]]</f>
        <v>1650</v>
      </c>
      <c r="Q439" s="15">
        <f>Bike_Sales[[#This Row],[Total Sales]]-Bike_Sales[[#This Row],[Total Cost]]</f>
        <v>900</v>
      </c>
      <c r="R439" s="17">
        <f>Bike_Sales[[#This Row],[Profit]]/Bike_Sales[[#This Row],[Total Sales]]</f>
        <v>0.35294117647058826</v>
      </c>
      <c r="S439" s="16" t="str">
        <f t="shared" si="6"/>
        <v>35-44</v>
      </c>
    </row>
    <row r="440" spans="1:19" x14ac:dyDescent="0.35">
      <c r="A440" s="2">
        <v>44475</v>
      </c>
      <c r="B440" s="2" t="str">
        <f>TEXT(Bike_Sales[[#This Row],[Date]],"mmmm")</f>
        <v>October</v>
      </c>
      <c r="C440" s="19">
        <f>MONTH(Bike_Sales[[#This Row],[Date]])</f>
        <v>10</v>
      </c>
      <c r="D440" s="2" t="str">
        <f>TEXT(Bike_Sales[[#This Row],[Date]],"dddd")</f>
        <v>Wednesday</v>
      </c>
      <c r="E440" s="3">
        <v>37</v>
      </c>
      <c r="F440" s="3" t="s">
        <v>126</v>
      </c>
      <c r="G440" s="3" t="s">
        <v>18</v>
      </c>
      <c r="H440" s="3" t="s">
        <v>24</v>
      </c>
      <c r="I440" s="3" t="s">
        <v>11</v>
      </c>
      <c r="J440" s="3" t="s">
        <v>104</v>
      </c>
      <c r="K440" s="3" t="s">
        <v>27</v>
      </c>
      <c r="L440" s="4">
        <v>4</v>
      </c>
      <c r="M440" s="3">
        <v>530</v>
      </c>
      <c r="N440" s="3">
        <v>840</v>
      </c>
      <c r="O440" s="15">
        <f>Bike_Sales[[#This Row],[Order_Quantity]]*Bike_Sales[[#This Row],[Unit_Price]]</f>
        <v>3360</v>
      </c>
      <c r="P440" s="15">
        <f>Bike_Sales[[#This Row],[Order_Quantity]]*Bike_Sales[[#This Row],[Unit_Cost]]</f>
        <v>2120</v>
      </c>
      <c r="Q440" s="15">
        <f>Bike_Sales[[#This Row],[Total Sales]]-Bike_Sales[[#This Row],[Total Cost]]</f>
        <v>1240</v>
      </c>
      <c r="R440" s="17">
        <f>Bike_Sales[[#This Row],[Profit]]/Bike_Sales[[#This Row],[Total Sales]]</f>
        <v>0.36904761904761907</v>
      </c>
      <c r="S440" s="16" t="str">
        <f t="shared" si="6"/>
        <v>35-44</v>
      </c>
    </row>
    <row r="441" spans="1:19" x14ac:dyDescent="0.35">
      <c r="A441" s="2">
        <v>44476</v>
      </c>
      <c r="B441" s="2" t="str">
        <f>TEXT(Bike_Sales[[#This Row],[Date]],"mmmm")</f>
        <v>October</v>
      </c>
      <c r="C441" s="19">
        <f>MONTH(Bike_Sales[[#This Row],[Date]])</f>
        <v>10</v>
      </c>
      <c r="D441" s="2" t="str">
        <f>TEXT(Bike_Sales[[#This Row],[Date]],"dddd")</f>
        <v>Thursday</v>
      </c>
      <c r="E441" s="3">
        <v>37</v>
      </c>
      <c r="F441" s="3" t="s">
        <v>135</v>
      </c>
      <c r="G441" s="3" t="s">
        <v>18</v>
      </c>
      <c r="H441" s="3" t="s">
        <v>24</v>
      </c>
      <c r="I441" s="3" t="s">
        <v>11</v>
      </c>
      <c r="J441" s="3" t="s">
        <v>104</v>
      </c>
      <c r="K441" s="3" t="s">
        <v>53</v>
      </c>
      <c r="L441" s="4">
        <v>1</v>
      </c>
      <c r="M441" s="3">
        <v>500</v>
      </c>
      <c r="N441" s="3">
        <v>800</v>
      </c>
      <c r="O441" s="15">
        <f>Bike_Sales[[#This Row],[Order_Quantity]]*Bike_Sales[[#This Row],[Unit_Price]]</f>
        <v>800</v>
      </c>
      <c r="P441" s="15">
        <f>Bike_Sales[[#This Row],[Order_Quantity]]*Bike_Sales[[#This Row],[Unit_Cost]]</f>
        <v>500</v>
      </c>
      <c r="Q441" s="15">
        <f>Bike_Sales[[#This Row],[Total Sales]]-Bike_Sales[[#This Row],[Total Cost]]</f>
        <v>300</v>
      </c>
      <c r="R441" s="17">
        <f>Bike_Sales[[#This Row],[Profit]]/Bike_Sales[[#This Row],[Total Sales]]</f>
        <v>0.375</v>
      </c>
      <c r="S441" s="16" t="str">
        <f t="shared" si="6"/>
        <v>35-44</v>
      </c>
    </row>
    <row r="442" spans="1:19" x14ac:dyDescent="0.35">
      <c r="A442" s="2">
        <v>44480</v>
      </c>
      <c r="B442" s="2" t="str">
        <f>TEXT(Bike_Sales[[#This Row],[Date]],"mmmm")</f>
        <v>October</v>
      </c>
      <c r="C442" s="19">
        <f>MONTH(Bike_Sales[[#This Row],[Date]])</f>
        <v>10</v>
      </c>
      <c r="D442" s="2" t="str">
        <f>TEXT(Bike_Sales[[#This Row],[Date]],"dddd")</f>
        <v>Monday</v>
      </c>
      <c r="E442" s="3">
        <v>37</v>
      </c>
      <c r="F442" s="3" t="s">
        <v>135</v>
      </c>
      <c r="G442" s="3" t="s">
        <v>18</v>
      </c>
      <c r="H442" s="3" t="s">
        <v>21</v>
      </c>
      <c r="I442" s="3" t="s">
        <v>11</v>
      </c>
      <c r="J442" s="3" t="s">
        <v>104</v>
      </c>
      <c r="K442" s="3" t="s">
        <v>20</v>
      </c>
      <c r="L442" s="4">
        <v>4</v>
      </c>
      <c r="M442" s="3">
        <v>530</v>
      </c>
      <c r="N442" s="3">
        <v>840</v>
      </c>
      <c r="O442" s="15">
        <f>Bike_Sales[[#This Row],[Order_Quantity]]*Bike_Sales[[#This Row],[Unit_Price]]</f>
        <v>3360</v>
      </c>
      <c r="P442" s="15">
        <f>Bike_Sales[[#This Row],[Order_Quantity]]*Bike_Sales[[#This Row],[Unit_Cost]]</f>
        <v>2120</v>
      </c>
      <c r="Q442" s="15">
        <f>Bike_Sales[[#This Row],[Total Sales]]-Bike_Sales[[#This Row],[Total Cost]]</f>
        <v>1240</v>
      </c>
      <c r="R442" s="17">
        <f>Bike_Sales[[#This Row],[Profit]]/Bike_Sales[[#This Row],[Total Sales]]</f>
        <v>0.36904761904761907</v>
      </c>
      <c r="S442" s="16" t="str">
        <f t="shared" si="6"/>
        <v>35-44</v>
      </c>
    </row>
    <row r="443" spans="1:19" x14ac:dyDescent="0.35">
      <c r="A443" s="2">
        <v>44480</v>
      </c>
      <c r="B443" s="2" t="str">
        <f>TEXT(Bike_Sales[[#This Row],[Date]],"mmmm")</f>
        <v>October</v>
      </c>
      <c r="C443" s="19">
        <f>MONTH(Bike_Sales[[#This Row],[Date]])</f>
        <v>10</v>
      </c>
      <c r="D443" s="2" t="str">
        <f>TEXT(Bike_Sales[[#This Row],[Date]],"dddd")</f>
        <v>Monday</v>
      </c>
      <c r="E443" s="3">
        <v>37</v>
      </c>
      <c r="F443" s="3" t="s">
        <v>135</v>
      </c>
      <c r="G443" s="3" t="s">
        <v>18</v>
      </c>
      <c r="H443" s="3" t="s">
        <v>24</v>
      </c>
      <c r="I443" s="3" t="s">
        <v>11</v>
      </c>
      <c r="J443" s="3" t="s">
        <v>104</v>
      </c>
      <c r="K443" s="3" t="s">
        <v>53</v>
      </c>
      <c r="L443" s="4">
        <v>3</v>
      </c>
      <c r="M443" s="3">
        <v>500</v>
      </c>
      <c r="N443" s="3">
        <v>800</v>
      </c>
      <c r="O443" s="15">
        <f>Bike_Sales[[#This Row],[Order_Quantity]]*Bike_Sales[[#This Row],[Unit_Price]]</f>
        <v>2400</v>
      </c>
      <c r="P443" s="15">
        <f>Bike_Sales[[#This Row],[Order_Quantity]]*Bike_Sales[[#This Row],[Unit_Cost]]</f>
        <v>1500</v>
      </c>
      <c r="Q443" s="15">
        <f>Bike_Sales[[#This Row],[Total Sales]]-Bike_Sales[[#This Row],[Total Cost]]</f>
        <v>900</v>
      </c>
      <c r="R443" s="17">
        <f>Bike_Sales[[#This Row],[Profit]]/Bike_Sales[[#This Row],[Total Sales]]</f>
        <v>0.375</v>
      </c>
      <c r="S443" s="16" t="str">
        <f t="shared" si="6"/>
        <v>35-44</v>
      </c>
    </row>
    <row r="444" spans="1:19" x14ac:dyDescent="0.35">
      <c r="A444" s="2">
        <v>44481</v>
      </c>
      <c r="B444" s="2" t="str">
        <f>TEXT(Bike_Sales[[#This Row],[Date]],"mmmm")</f>
        <v>October</v>
      </c>
      <c r="C444" s="19">
        <f>MONTH(Bike_Sales[[#This Row],[Date]])</f>
        <v>10</v>
      </c>
      <c r="D444" s="2" t="str">
        <f>TEXT(Bike_Sales[[#This Row],[Date]],"dddd")</f>
        <v>Tuesday</v>
      </c>
      <c r="E444" s="3">
        <v>37</v>
      </c>
      <c r="F444" s="3" t="s">
        <v>126</v>
      </c>
      <c r="G444" s="3" t="s">
        <v>18</v>
      </c>
      <c r="H444" s="3" t="s">
        <v>35</v>
      </c>
      <c r="I444" s="3" t="s">
        <v>11</v>
      </c>
      <c r="J444" s="3" t="s">
        <v>104</v>
      </c>
      <c r="K444" s="3" t="s">
        <v>34</v>
      </c>
      <c r="L444" s="4">
        <v>4</v>
      </c>
      <c r="M444" s="3">
        <v>500</v>
      </c>
      <c r="N444" s="3">
        <v>800</v>
      </c>
      <c r="O444" s="15">
        <f>Bike_Sales[[#This Row],[Order_Quantity]]*Bike_Sales[[#This Row],[Unit_Price]]</f>
        <v>3200</v>
      </c>
      <c r="P444" s="15">
        <f>Bike_Sales[[#This Row],[Order_Quantity]]*Bike_Sales[[#This Row],[Unit_Cost]]</f>
        <v>2000</v>
      </c>
      <c r="Q444" s="15">
        <f>Bike_Sales[[#This Row],[Total Sales]]-Bike_Sales[[#This Row],[Total Cost]]</f>
        <v>1200</v>
      </c>
      <c r="R444" s="17">
        <f>Bike_Sales[[#This Row],[Profit]]/Bike_Sales[[#This Row],[Total Sales]]</f>
        <v>0.375</v>
      </c>
      <c r="S444" s="16" t="str">
        <f t="shared" si="6"/>
        <v>35-44</v>
      </c>
    </row>
    <row r="445" spans="1:19" x14ac:dyDescent="0.35">
      <c r="A445" s="2">
        <v>44481</v>
      </c>
      <c r="B445" s="2" t="str">
        <f>TEXT(Bike_Sales[[#This Row],[Date]],"mmmm")</f>
        <v>October</v>
      </c>
      <c r="C445" s="19">
        <f>MONTH(Bike_Sales[[#This Row],[Date]])</f>
        <v>10</v>
      </c>
      <c r="D445" s="2" t="str">
        <f>TEXT(Bike_Sales[[#This Row],[Date]],"dddd")</f>
        <v>Tuesday</v>
      </c>
      <c r="E445" s="3">
        <v>37</v>
      </c>
      <c r="F445" s="3" t="s">
        <v>126</v>
      </c>
      <c r="G445" s="3" t="s">
        <v>129</v>
      </c>
      <c r="H445" s="3" t="s">
        <v>15</v>
      </c>
      <c r="I445" s="3" t="s">
        <v>16</v>
      </c>
      <c r="J445" s="3" t="s">
        <v>103</v>
      </c>
      <c r="K445" s="3" t="s">
        <v>64</v>
      </c>
      <c r="L445" s="4">
        <v>3</v>
      </c>
      <c r="M445" s="3">
        <v>480</v>
      </c>
      <c r="N445" s="3">
        <v>760</v>
      </c>
      <c r="O445" s="15">
        <f>Bike_Sales[[#This Row],[Order_Quantity]]*Bike_Sales[[#This Row],[Unit_Price]]</f>
        <v>2280</v>
      </c>
      <c r="P445" s="15">
        <f>Bike_Sales[[#This Row],[Order_Quantity]]*Bike_Sales[[#This Row],[Unit_Cost]]</f>
        <v>1440</v>
      </c>
      <c r="Q445" s="15">
        <f>Bike_Sales[[#This Row],[Total Sales]]-Bike_Sales[[#This Row],[Total Cost]]</f>
        <v>840</v>
      </c>
      <c r="R445" s="17">
        <f>Bike_Sales[[#This Row],[Profit]]/Bike_Sales[[#This Row],[Total Sales]]</f>
        <v>0.36842105263157893</v>
      </c>
      <c r="S445" s="16" t="str">
        <f t="shared" si="6"/>
        <v>35-44</v>
      </c>
    </row>
    <row r="446" spans="1:19" x14ac:dyDescent="0.35">
      <c r="A446" s="2">
        <v>44483</v>
      </c>
      <c r="B446" s="2" t="str">
        <f>TEXT(Bike_Sales[[#This Row],[Date]],"mmmm")</f>
        <v>October</v>
      </c>
      <c r="C446" s="19">
        <f>MONTH(Bike_Sales[[#This Row],[Date]])</f>
        <v>10</v>
      </c>
      <c r="D446" s="2" t="str">
        <f>TEXT(Bike_Sales[[#This Row],[Date]],"dddd")</f>
        <v>Thursday</v>
      </c>
      <c r="E446" s="3">
        <v>37</v>
      </c>
      <c r="F446" s="3" t="s">
        <v>135</v>
      </c>
      <c r="G446" s="3" t="s">
        <v>18</v>
      </c>
      <c r="H446" s="3" t="s">
        <v>24</v>
      </c>
      <c r="I446" s="3" t="s">
        <v>11</v>
      </c>
      <c r="J446" s="3" t="s">
        <v>104</v>
      </c>
      <c r="K446" s="3" t="s">
        <v>53</v>
      </c>
      <c r="L446" s="4">
        <v>4</v>
      </c>
      <c r="M446" s="3">
        <v>500</v>
      </c>
      <c r="N446" s="3">
        <v>800</v>
      </c>
      <c r="O446" s="15">
        <f>Bike_Sales[[#This Row],[Order_Quantity]]*Bike_Sales[[#This Row],[Unit_Price]]</f>
        <v>3200</v>
      </c>
      <c r="P446" s="15">
        <f>Bike_Sales[[#This Row],[Order_Quantity]]*Bike_Sales[[#This Row],[Unit_Cost]]</f>
        <v>2000</v>
      </c>
      <c r="Q446" s="15">
        <f>Bike_Sales[[#This Row],[Total Sales]]-Bike_Sales[[#This Row],[Total Cost]]</f>
        <v>1200</v>
      </c>
      <c r="R446" s="17">
        <f>Bike_Sales[[#This Row],[Profit]]/Bike_Sales[[#This Row],[Total Sales]]</f>
        <v>0.375</v>
      </c>
      <c r="S446" s="16" t="str">
        <f t="shared" si="6"/>
        <v>35-44</v>
      </c>
    </row>
    <row r="447" spans="1:19" x14ac:dyDescent="0.35">
      <c r="A447" s="2">
        <v>44491</v>
      </c>
      <c r="B447" s="2" t="str">
        <f>TEXT(Bike_Sales[[#This Row],[Date]],"mmmm")</f>
        <v>October</v>
      </c>
      <c r="C447" s="19">
        <f>MONTH(Bike_Sales[[#This Row],[Date]])</f>
        <v>10</v>
      </c>
      <c r="D447" s="2" t="str">
        <f>TEXT(Bike_Sales[[#This Row],[Date]],"dddd")</f>
        <v>Friday</v>
      </c>
      <c r="E447" s="3">
        <v>37</v>
      </c>
      <c r="F447" s="3" t="s">
        <v>126</v>
      </c>
      <c r="G447" s="3" t="s">
        <v>129</v>
      </c>
      <c r="H447" s="3" t="s">
        <v>15</v>
      </c>
      <c r="I447" s="3" t="s">
        <v>11</v>
      </c>
      <c r="J447" s="3" t="s">
        <v>104</v>
      </c>
      <c r="K447" s="3" t="s">
        <v>20</v>
      </c>
      <c r="L447" s="4">
        <v>1</v>
      </c>
      <c r="M447" s="3">
        <v>530</v>
      </c>
      <c r="N447" s="3">
        <v>840</v>
      </c>
      <c r="O447" s="15">
        <f>Bike_Sales[[#This Row],[Order_Quantity]]*Bike_Sales[[#This Row],[Unit_Price]]</f>
        <v>840</v>
      </c>
      <c r="P447" s="15">
        <f>Bike_Sales[[#This Row],[Order_Quantity]]*Bike_Sales[[#This Row],[Unit_Cost]]</f>
        <v>530</v>
      </c>
      <c r="Q447" s="15">
        <f>Bike_Sales[[#This Row],[Total Sales]]-Bike_Sales[[#This Row],[Total Cost]]</f>
        <v>310</v>
      </c>
      <c r="R447" s="17">
        <f>Bike_Sales[[#This Row],[Profit]]/Bike_Sales[[#This Row],[Total Sales]]</f>
        <v>0.36904761904761907</v>
      </c>
      <c r="S447" s="16" t="str">
        <f t="shared" si="6"/>
        <v>35-44</v>
      </c>
    </row>
    <row r="448" spans="1:19" x14ac:dyDescent="0.35">
      <c r="A448" s="2">
        <v>44494</v>
      </c>
      <c r="B448" s="2" t="str">
        <f>TEXT(Bike_Sales[[#This Row],[Date]],"mmmm")</f>
        <v>October</v>
      </c>
      <c r="C448" s="19">
        <f>MONTH(Bike_Sales[[#This Row],[Date]])</f>
        <v>10</v>
      </c>
      <c r="D448" s="2" t="str">
        <f>TEXT(Bike_Sales[[#This Row],[Date]],"dddd")</f>
        <v>Monday</v>
      </c>
      <c r="E448" s="3">
        <v>37</v>
      </c>
      <c r="F448" s="3" t="s">
        <v>135</v>
      </c>
      <c r="G448" s="3" t="s">
        <v>13</v>
      </c>
      <c r="H448" s="3" t="s">
        <v>127</v>
      </c>
      <c r="I448" s="3" t="s">
        <v>11</v>
      </c>
      <c r="J448" s="3" t="s">
        <v>102</v>
      </c>
      <c r="K448" s="3" t="s">
        <v>74</v>
      </c>
      <c r="L448" s="4">
        <v>1</v>
      </c>
      <c r="M448" s="3">
        <v>500</v>
      </c>
      <c r="N448" s="3">
        <v>950</v>
      </c>
      <c r="O448" s="15">
        <f>Bike_Sales[[#This Row],[Order_Quantity]]*Bike_Sales[[#This Row],[Unit_Price]]</f>
        <v>950</v>
      </c>
      <c r="P448" s="15">
        <f>Bike_Sales[[#This Row],[Order_Quantity]]*Bike_Sales[[#This Row],[Unit_Cost]]</f>
        <v>500</v>
      </c>
      <c r="Q448" s="15">
        <f>Bike_Sales[[#This Row],[Total Sales]]-Bike_Sales[[#This Row],[Total Cost]]</f>
        <v>450</v>
      </c>
      <c r="R448" s="17">
        <f>Bike_Sales[[#This Row],[Profit]]/Bike_Sales[[#This Row],[Total Sales]]</f>
        <v>0.47368421052631576</v>
      </c>
      <c r="S448" s="16" t="str">
        <f t="shared" si="6"/>
        <v>35-44</v>
      </c>
    </row>
    <row r="449" spans="1:19" x14ac:dyDescent="0.35">
      <c r="A449" s="2">
        <v>44495</v>
      </c>
      <c r="B449" s="2" t="str">
        <f>TEXT(Bike_Sales[[#This Row],[Date]],"mmmm")</f>
        <v>October</v>
      </c>
      <c r="C449" s="19">
        <f>MONTH(Bike_Sales[[#This Row],[Date]])</f>
        <v>10</v>
      </c>
      <c r="D449" s="2" t="str">
        <f>TEXT(Bike_Sales[[#This Row],[Date]],"dddd")</f>
        <v>Tuesday</v>
      </c>
      <c r="E449" s="3">
        <v>37</v>
      </c>
      <c r="F449" s="3" t="s">
        <v>135</v>
      </c>
      <c r="G449" s="3" t="s">
        <v>9</v>
      </c>
      <c r="H449" s="3" t="s">
        <v>69</v>
      </c>
      <c r="I449" s="3" t="s">
        <v>11</v>
      </c>
      <c r="J449" s="3" t="s">
        <v>104</v>
      </c>
      <c r="K449" s="3" t="s">
        <v>68</v>
      </c>
      <c r="L449" s="4">
        <v>1</v>
      </c>
      <c r="M449" s="3">
        <v>500</v>
      </c>
      <c r="N449" s="3">
        <v>800</v>
      </c>
      <c r="O449" s="15">
        <f>Bike_Sales[[#This Row],[Order_Quantity]]*Bike_Sales[[#This Row],[Unit_Price]]</f>
        <v>800</v>
      </c>
      <c r="P449" s="15">
        <f>Bike_Sales[[#This Row],[Order_Quantity]]*Bike_Sales[[#This Row],[Unit_Cost]]</f>
        <v>500</v>
      </c>
      <c r="Q449" s="15">
        <f>Bike_Sales[[#This Row],[Total Sales]]-Bike_Sales[[#This Row],[Total Cost]]</f>
        <v>300</v>
      </c>
      <c r="R449" s="17">
        <f>Bike_Sales[[#This Row],[Profit]]/Bike_Sales[[#This Row],[Total Sales]]</f>
        <v>0.375</v>
      </c>
      <c r="S449" s="16" t="str">
        <f t="shared" si="6"/>
        <v>35-44</v>
      </c>
    </row>
    <row r="450" spans="1:19" x14ac:dyDescent="0.35">
      <c r="A450" s="2">
        <v>44501</v>
      </c>
      <c r="B450" s="2" t="str">
        <f>TEXT(Bike_Sales[[#This Row],[Date]],"mmmm")</f>
        <v>November</v>
      </c>
      <c r="C450" s="19">
        <f>MONTH(Bike_Sales[[#This Row],[Date]])</f>
        <v>11</v>
      </c>
      <c r="D450" s="2" t="str">
        <f>TEXT(Bike_Sales[[#This Row],[Date]],"dddd")</f>
        <v>Monday</v>
      </c>
      <c r="E450" s="3">
        <v>37</v>
      </c>
      <c r="F450" s="3" t="s">
        <v>126</v>
      </c>
      <c r="G450" s="3" t="s">
        <v>9</v>
      </c>
      <c r="H450" s="3" t="s">
        <v>10</v>
      </c>
      <c r="I450" s="3" t="s">
        <v>11</v>
      </c>
      <c r="J450" s="3" t="s">
        <v>102</v>
      </c>
      <c r="K450" s="3" t="s">
        <v>84</v>
      </c>
      <c r="L450" s="4">
        <v>1</v>
      </c>
      <c r="M450" s="3">
        <v>620</v>
      </c>
      <c r="N450" s="3">
        <v>980</v>
      </c>
      <c r="O450" s="15">
        <f>Bike_Sales[[#This Row],[Order_Quantity]]*Bike_Sales[[#This Row],[Unit_Price]]</f>
        <v>980</v>
      </c>
      <c r="P450" s="15">
        <f>Bike_Sales[[#This Row],[Order_Quantity]]*Bike_Sales[[#This Row],[Unit_Cost]]</f>
        <v>620</v>
      </c>
      <c r="Q450" s="15">
        <f>Bike_Sales[[#This Row],[Total Sales]]-Bike_Sales[[#This Row],[Total Cost]]</f>
        <v>360</v>
      </c>
      <c r="R450" s="17">
        <f>Bike_Sales[[#This Row],[Profit]]/Bike_Sales[[#This Row],[Total Sales]]</f>
        <v>0.36734693877551022</v>
      </c>
      <c r="S450" s="16" t="str">
        <f t="shared" ref="S450:S513" si="7">IF(E450&lt;25,"Under 25",IF(E450&lt;35,"25-34",IF(E450&lt;45,"35-44",IF(E450&lt;55,"45-54","55+"))))</f>
        <v>35-44</v>
      </c>
    </row>
    <row r="451" spans="1:19" x14ac:dyDescent="0.35">
      <c r="A451" s="2">
        <v>44524</v>
      </c>
      <c r="B451" s="2" t="str">
        <f>TEXT(Bike_Sales[[#This Row],[Date]],"mmmm")</f>
        <v>November</v>
      </c>
      <c r="C451" s="19">
        <f>MONTH(Bike_Sales[[#This Row],[Date]])</f>
        <v>11</v>
      </c>
      <c r="D451" s="2" t="str">
        <f>TEXT(Bike_Sales[[#This Row],[Date]],"dddd")</f>
        <v>Wednesday</v>
      </c>
      <c r="E451" s="3">
        <v>37</v>
      </c>
      <c r="F451" s="3" t="s">
        <v>135</v>
      </c>
      <c r="G451" s="3" t="s">
        <v>9</v>
      </c>
      <c r="H451" s="3" t="s">
        <v>37</v>
      </c>
      <c r="I451" s="3" t="s">
        <v>11</v>
      </c>
      <c r="J451" s="3" t="s">
        <v>104</v>
      </c>
      <c r="K451" s="3" t="s">
        <v>51</v>
      </c>
      <c r="L451" s="4">
        <v>2</v>
      </c>
      <c r="M451" s="3">
        <v>530</v>
      </c>
      <c r="N451" s="3">
        <v>840</v>
      </c>
      <c r="O451" s="15">
        <f>Bike_Sales[[#This Row],[Order_Quantity]]*Bike_Sales[[#This Row],[Unit_Price]]</f>
        <v>1680</v>
      </c>
      <c r="P451" s="15">
        <f>Bike_Sales[[#This Row],[Order_Quantity]]*Bike_Sales[[#This Row],[Unit_Cost]]</f>
        <v>1060</v>
      </c>
      <c r="Q451" s="15">
        <f>Bike_Sales[[#This Row],[Total Sales]]-Bike_Sales[[#This Row],[Total Cost]]</f>
        <v>620</v>
      </c>
      <c r="R451" s="17">
        <f>Bike_Sales[[#This Row],[Profit]]/Bike_Sales[[#This Row],[Total Sales]]</f>
        <v>0.36904761904761907</v>
      </c>
      <c r="S451" s="16" t="str">
        <f t="shared" si="7"/>
        <v>35-44</v>
      </c>
    </row>
    <row r="452" spans="1:19" x14ac:dyDescent="0.35">
      <c r="A452" s="2">
        <v>44532</v>
      </c>
      <c r="B452" s="2" t="str">
        <f>TEXT(Bike_Sales[[#This Row],[Date]],"mmmm")</f>
        <v>December</v>
      </c>
      <c r="C452" s="19">
        <f>MONTH(Bike_Sales[[#This Row],[Date]])</f>
        <v>12</v>
      </c>
      <c r="D452" s="2" t="str">
        <f>TEXT(Bike_Sales[[#This Row],[Date]],"dddd")</f>
        <v>Thursday</v>
      </c>
      <c r="E452" s="3">
        <v>37</v>
      </c>
      <c r="F452" s="3" t="s">
        <v>126</v>
      </c>
      <c r="G452" s="3" t="s">
        <v>9</v>
      </c>
      <c r="H452" s="3" t="s">
        <v>10</v>
      </c>
      <c r="I452" s="3" t="s">
        <v>16</v>
      </c>
      <c r="J452" s="3" t="s">
        <v>103</v>
      </c>
      <c r="K452" s="3" t="s">
        <v>78</v>
      </c>
      <c r="L452" s="4">
        <v>2</v>
      </c>
      <c r="M452" s="3">
        <v>450</v>
      </c>
      <c r="N452" s="3">
        <v>720</v>
      </c>
      <c r="O452" s="15">
        <f>Bike_Sales[[#This Row],[Order_Quantity]]*Bike_Sales[[#This Row],[Unit_Price]]</f>
        <v>1440</v>
      </c>
      <c r="P452" s="15">
        <f>Bike_Sales[[#This Row],[Order_Quantity]]*Bike_Sales[[#This Row],[Unit_Cost]]</f>
        <v>900</v>
      </c>
      <c r="Q452" s="15">
        <f>Bike_Sales[[#This Row],[Total Sales]]-Bike_Sales[[#This Row],[Total Cost]]</f>
        <v>540</v>
      </c>
      <c r="R452" s="17">
        <f>Bike_Sales[[#This Row],[Profit]]/Bike_Sales[[#This Row],[Total Sales]]</f>
        <v>0.375</v>
      </c>
      <c r="S452" s="16" t="str">
        <f t="shared" si="7"/>
        <v>35-44</v>
      </c>
    </row>
    <row r="453" spans="1:19" x14ac:dyDescent="0.35">
      <c r="A453" s="2">
        <v>44533</v>
      </c>
      <c r="B453" s="2" t="str">
        <f>TEXT(Bike_Sales[[#This Row],[Date]],"mmmm")</f>
        <v>December</v>
      </c>
      <c r="C453" s="19">
        <f>MONTH(Bike_Sales[[#This Row],[Date]])</f>
        <v>12</v>
      </c>
      <c r="D453" s="2" t="str">
        <f>TEXT(Bike_Sales[[#This Row],[Date]],"dddd")</f>
        <v>Friday</v>
      </c>
      <c r="E453" s="3">
        <v>37</v>
      </c>
      <c r="F453" s="3" t="s">
        <v>135</v>
      </c>
      <c r="G453" s="3" t="s">
        <v>9</v>
      </c>
      <c r="H453" s="3" t="s">
        <v>10</v>
      </c>
      <c r="I453" s="3" t="s">
        <v>16</v>
      </c>
      <c r="J453" s="3" t="s">
        <v>101</v>
      </c>
      <c r="K453" s="3" t="s">
        <v>49</v>
      </c>
      <c r="L453" s="4">
        <v>2</v>
      </c>
      <c r="M453" s="3">
        <v>550</v>
      </c>
      <c r="N453" s="3">
        <v>850</v>
      </c>
      <c r="O453" s="15">
        <f>Bike_Sales[[#This Row],[Order_Quantity]]*Bike_Sales[[#This Row],[Unit_Price]]</f>
        <v>1700</v>
      </c>
      <c r="P453" s="15">
        <f>Bike_Sales[[#This Row],[Order_Quantity]]*Bike_Sales[[#This Row],[Unit_Cost]]</f>
        <v>1100</v>
      </c>
      <c r="Q453" s="15">
        <f>Bike_Sales[[#This Row],[Total Sales]]-Bike_Sales[[#This Row],[Total Cost]]</f>
        <v>600</v>
      </c>
      <c r="R453" s="17">
        <f>Bike_Sales[[#This Row],[Profit]]/Bike_Sales[[#This Row],[Total Sales]]</f>
        <v>0.35294117647058826</v>
      </c>
      <c r="S453" s="16" t="str">
        <f t="shared" si="7"/>
        <v>35-44</v>
      </c>
    </row>
    <row r="454" spans="1:19" x14ac:dyDescent="0.35">
      <c r="A454" s="2">
        <v>44533</v>
      </c>
      <c r="B454" s="2" t="str">
        <f>TEXT(Bike_Sales[[#This Row],[Date]],"mmmm")</f>
        <v>December</v>
      </c>
      <c r="C454" s="19">
        <f>MONTH(Bike_Sales[[#This Row],[Date]])</f>
        <v>12</v>
      </c>
      <c r="D454" s="2" t="str">
        <f>TEXT(Bike_Sales[[#This Row],[Date]],"dddd")</f>
        <v>Friday</v>
      </c>
      <c r="E454" s="3">
        <v>37</v>
      </c>
      <c r="F454" s="3" t="s">
        <v>126</v>
      </c>
      <c r="G454" s="3" t="s">
        <v>9</v>
      </c>
      <c r="H454" s="3" t="s">
        <v>37</v>
      </c>
      <c r="I454" s="3" t="s">
        <v>16</v>
      </c>
      <c r="J454" s="3" t="s">
        <v>101</v>
      </c>
      <c r="K454" s="3" t="s">
        <v>49</v>
      </c>
      <c r="L454" s="4">
        <v>1</v>
      </c>
      <c r="M454" s="3">
        <v>550</v>
      </c>
      <c r="N454" s="3">
        <v>850</v>
      </c>
      <c r="O454" s="15">
        <f>Bike_Sales[[#This Row],[Order_Quantity]]*Bike_Sales[[#This Row],[Unit_Price]]</f>
        <v>850</v>
      </c>
      <c r="P454" s="15">
        <f>Bike_Sales[[#This Row],[Order_Quantity]]*Bike_Sales[[#This Row],[Unit_Cost]]</f>
        <v>550</v>
      </c>
      <c r="Q454" s="15">
        <f>Bike_Sales[[#This Row],[Total Sales]]-Bike_Sales[[#This Row],[Total Cost]]</f>
        <v>300</v>
      </c>
      <c r="R454" s="17">
        <f>Bike_Sales[[#This Row],[Profit]]/Bike_Sales[[#This Row],[Total Sales]]</f>
        <v>0.35294117647058826</v>
      </c>
      <c r="S454" s="16" t="str">
        <f t="shared" si="7"/>
        <v>35-44</v>
      </c>
    </row>
    <row r="455" spans="1:19" x14ac:dyDescent="0.35">
      <c r="A455" s="2">
        <v>44535</v>
      </c>
      <c r="B455" s="2" t="str">
        <f>TEXT(Bike_Sales[[#This Row],[Date]],"mmmm")</f>
        <v>December</v>
      </c>
      <c r="C455" s="19">
        <f>MONTH(Bike_Sales[[#This Row],[Date]])</f>
        <v>12</v>
      </c>
      <c r="D455" s="2" t="str">
        <f>TEXT(Bike_Sales[[#This Row],[Date]],"dddd")</f>
        <v>Sunday</v>
      </c>
      <c r="E455" s="3">
        <v>37</v>
      </c>
      <c r="F455" s="3" t="s">
        <v>135</v>
      </c>
      <c r="G455" s="3" t="s">
        <v>9</v>
      </c>
      <c r="H455" s="3" t="s">
        <v>10</v>
      </c>
      <c r="I455" s="3" t="s">
        <v>16</v>
      </c>
      <c r="J455" s="3" t="s">
        <v>101</v>
      </c>
      <c r="K455" s="3" t="s">
        <v>49</v>
      </c>
      <c r="L455" s="4">
        <v>1</v>
      </c>
      <c r="M455" s="3">
        <v>550</v>
      </c>
      <c r="N455" s="3">
        <v>850</v>
      </c>
      <c r="O455" s="15">
        <f>Bike_Sales[[#This Row],[Order_Quantity]]*Bike_Sales[[#This Row],[Unit_Price]]</f>
        <v>850</v>
      </c>
      <c r="P455" s="15">
        <f>Bike_Sales[[#This Row],[Order_Quantity]]*Bike_Sales[[#This Row],[Unit_Cost]]</f>
        <v>550</v>
      </c>
      <c r="Q455" s="15">
        <f>Bike_Sales[[#This Row],[Total Sales]]-Bike_Sales[[#This Row],[Total Cost]]</f>
        <v>300</v>
      </c>
      <c r="R455" s="17">
        <f>Bike_Sales[[#This Row],[Profit]]/Bike_Sales[[#This Row],[Total Sales]]</f>
        <v>0.35294117647058826</v>
      </c>
      <c r="S455" s="16" t="str">
        <f t="shared" si="7"/>
        <v>35-44</v>
      </c>
    </row>
    <row r="456" spans="1:19" x14ac:dyDescent="0.35">
      <c r="A456" s="2">
        <v>44537</v>
      </c>
      <c r="B456" s="2" t="str">
        <f>TEXT(Bike_Sales[[#This Row],[Date]],"mmmm")</f>
        <v>December</v>
      </c>
      <c r="C456" s="19">
        <f>MONTH(Bike_Sales[[#This Row],[Date]])</f>
        <v>12</v>
      </c>
      <c r="D456" s="2" t="str">
        <f>TEXT(Bike_Sales[[#This Row],[Date]],"dddd")</f>
        <v>Tuesday</v>
      </c>
      <c r="E456" s="3">
        <v>37</v>
      </c>
      <c r="F456" s="3" t="s">
        <v>135</v>
      </c>
      <c r="G456" s="3" t="s">
        <v>18</v>
      </c>
      <c r="H456" s="3" t="s">
        <v>21</v>
      </c>
      <c r="I456" s="3" t="s">
        <v>11</v>
      </c>
      <c r="J456" s="3" t="s">
        <v>104</v>
      </c>
      <c r="K456" s="3" t="s">
        <v>20</v>
      </c>
      <c r="L456" s="4">
        <v>4</v>
      </c>
      <c r="M456" s="3">
        <v>530</v>
      </c>
      <c r="N456" s="3">
        <v>840</v>
      </c>
      <c r="O456" s="15">
        <f>Bike_Sales[[#This Row],[Order_Quantity]]*Bike_Sales[[#This Row],[Unit_Price]]</f>
        <v>3360</v>
      </c>
      <c r="P456" s="15">
        <f>Bike_Sales[[#This Row],[Order_Quantity]]*Bike_Sales[[#This Row],[Unit_Cost]]</f>
        <v>2120</v>
      </c>
      <c r="Q456" s="15">
        <f>Bike_Sales[[#This Row],[Total Sales]]-Bike_Sales[[#This Row],[Total Cost]]</f>
        <v>1240</v>
      </c>
      <c r="R456" s="17">
        <f>Bike_Sales[[#This Row],[Profit]]/Bike_Sales[[#This Row],[Total Sales]]</f>
        <v>0.36904761904761907</v>
      </c>
      <c r="S456" s="16" t="str">
        <f t="shared" si="7"/>
        <v>35-44</v>
      </c>
    </row>
    <row r="457" spans="1:19" x14ac:dyDescent="0.35">
      <c r="A457" s="2">
        <v>44541</v>
      </c>
      <c r="B457" s="2" t="str">
        <f>TEXT(Bike_Sales[[#This Row],[Date]],"mmmm")</f>
        <v>December</v>
      </c>
      <c r="C457" s="19">
        <f>MONTH(Bike_Sales[[#This Row],[Date]])</f>
        <v>12</v>
      </c>
      <c r="D457" s="2" t="str">
        <f>TEXT(Bike_Sales[[#This Row],[Date]],"dddd")</f>
        <v>Saturday</v>
      </c>
      <c r="E457" s="3">
        <v>37</v>
      </c>
      <c r="F457" s="3" t="s">
        <v>126</v>
      </c>
      <c r="G457" s="3" t="s">
        <v>9</v>
      </c>
      <c r="H457" s="3" t="s">
        <v>10</v>
      </c>
      <c r="I457" s="3" t="s">
        <v>16</v>
      </c>
      <c r="J457" s="3" t="s">
        <v>103</v>
      </c>
      <c r="K457" s="3" t="s">
        <v>78</v>
      </c>
      <c r="L457" s="4">
        <v>1</v>
      </c>
      <c r="M457" s="3">
        <v>450</v>
      </c>
      <c r="N457" s="3">
        <v>720</v>
      </c>
      <c r="O457" s="15">
        <f>Bike_Sales[[#This Row],[Order_Quantity]]*Bike_Sales[[#This Row],[Unit_Price]]</f>
        <v>720</v>
      </c>
      <c r="P457" s="15">
        <f>Bike_Sales[[#This Row],[Order_Quantity]]*Bike_Sales[[#This Row],[Unit_Cost]]</f>
        <v>450</v>
      </c>
      <c r="Q457" s="15">
        <f>Bike_Sales[[#This Row],[Total Sales]]-Bike_Sales[[#This Row],[Total Cost]]</f>
        <v>270</v>
      </c>
      <c r="R457" s="17">
        <f>Bike_Sales[[#This Row],[Profit]]/Bike_Sales[[#This Row],[Total Sales]]</f>
        <v>0.375</v>
      </c>
      <c r="S457" s="16" t="str">
        <f t="shared" si="7"/>
        <v>35-44</v>
      </c>
    </row>
    <row r="458" spans="1:19" x14ac:dyDescent="0.35">
      <c r="A458" s="2">
        <v>44542</v>
      </c>
      <c r="B458" s="2" t="str">
        <f>TEXT(Bike_Sales[[#This Row],[Date]],"mmmm")</f>
        <v>December</v>
      </c>
      <c r="C458" s="19">
        <f>MONTH(Bike_Sales[[#This Row],[Date]])</f>
        <v>12</v>
      </c>
      <c r="D458" s="2" t="str">
        <f>TEXT(Bike_Sales[[#This Row],[Date]],"dddd")</f>
        <v>Sunday</v>
      </c>
      <c r="E458" s="3">
        <v>37</v>
      </c>
      <c r="F458" s="3" t="s">
        <v>126</v>
      </c>
      <c r="G458" s="3" t="s">
        <v>9</v>
      </c>
      <c r="H458" s="3" t="s">
        <v>10</v>
      </c>
      <c r="I458" s="3" t="s">
        <v>16</v>
      </c>
      <c r="J458" s="3" t="s">
        <v>103</v>
      </c>
      <c r="K458" s="3" t="s">
        <v>78</v>
      </c>
      <c r="L458" s="4">
        <v>4</v>
      </c>
      <c r="M458" s="3">
        <v>450</v>
      </c>
      <c r="N458" s="3">
        <v>720</v>
      </c>
      <c r="O458" s="15">
        <f>Bike_Sales[[#This Row],[Order_Quantity]]*Bike_Sales[[#This Row],[Unit_Price]]</f>
        <v>2880</v>
      </c>
      <c r="P458" s="15">
        <f>Bike_Sales[[#This Row],[Order_Quantity]]*Bike_Sales[[#This Row],[Unit_Cost]]</f>
        <v>1800</v>
      </c>
      <c r="Q458" s="15">
        <f>Bike_Sales[[#This Row],[Total Sales]]-Bike_Sales[[#This Row],[Total Cost]]</f>
        <v>1080</v>
      </c>
      <c r="R458" s="17">
        <f>Bike_Sales[[#This Row],[Profit]]/Bike_Sales[[#This Row],[Total Sales]]</f>
        <v>0.375</v>
      </c>
      <c r="S458" s="16" t="str">
        <f t="shared" si="7"/>
        <v>35-44</v>
      </c>
    </row>
    <row r="459" spans="1:19" x14ac:dyDescent="0.35">
      <c r="A459" s="2">
        <v>44542</v>
      </c>
      <c r="B459" s="2" t="str">
        <f>TEXT(Bike_Sales[[#This Row],[Date]],"mmmm")</f>
        <v>December</v>
      </c>
      <c r="C459" s="19">
        <f>MONTH(Bike_Sales[[#This Row],[Date]])</f>
        <v>12</v>
      </c>
      <c r="D459" s="2" t="str">
        <f>TEXT(Bike_Sales[[#This Row],[Date]],"dddd")</f>
        <v>Sunday</v>
      </c>
      <c r="E459" s="3">
        <v>37</v>
      </c>
      <c r="F459" s="3" t="s">
        <v>126</v>
      </c>
      <c r="G459" s="3" t="s">
        <v>39</v>
      </c>
      <c r="H459" s="3" t="s">
        <v>80</v>
      </c>
      <c r="I459" s="3" t="s">
        <v>11</v>
      </c>
      <c r="J459" s="3" t="s">
        <v>102</v>
      </c>
      <c r="K459" s="3" t="s">
        <v>66</v>
      </c>
      <c r="L459" s="4">
        <v>1</v>
      </c>
      <c r="M459" s="3">
        <v>900</v>
      </c>
      <c r="N459" s="3">
        <v>1400</v>
      </c>
      <c r="O459" s="15">
        <f>Bike_Sales[[#This Row],[Order_Quantity]]*Bike_Sales[[#This Row],[Unit_Price]]</f>
        <v>1400</v>
      </c>
      <c r="P459" s="15">
        <f>Bike_Sales[[#This Row],[Order_Quantity]]*Bike_Sales[[#This Row],[Unit_Cost]]</f>
        <v>900</v>
      </c>
      <c r="Q459" s="15">
        <f>Bike_Sales[[#This Row],[Total Sales]]-Bike_Sales[[#This Row],[Total Cost]]</f>
        <v>500</v>
      </c>
      <c r="R459" s="17">
        <f>Bike_Sales[[#This Row],[Profit]]/Bike_Sales[[#This Row],[Total Sales]]</f>
        <v>0.35714285714285715</v>
      </c>
      <c r="S459" s="16" t="str">
        <f t="shared" si="7"/>
        <v>35-44</v>
      </c>
    </row>
    <row r="460" spans="1:19" x14ac:dyDescent="0.35">
      <c r="A460" s="2">
        <v>44543</v>
      </c>
      <c r="B460" s="2" t="str">
        <f>TEXT(Bike_Sales[[#This Row],[Date]],"mmmm")</f>
        <v>December</v>
      </c>
      <c r="C460" s="19">
        <f>MONTH(Bike_Sales[[#This Row],[Date]])</f>
        <v>12</v>
      </c>
      <c r="D460" s="2" t="str">
        <f>TEXT(Bike_Sales[[#This Row],[Date]],"dddd")</f>
        <v>Monday</v>
      </c>
      <c r="E460" s="3">
        <v>37</v>
      </c>
      <c r="F460" s="3" t="s">
        <v>126</v>
      </c>
      <c r="G460" s="3" t="s">
        <v>18</v>
      </c>
      <c r="H460" s="3" t="s">
        <v>24</v>
      </c>
      <c r="I460" s="3" t="s">
        <v>11</v>
      </c>
      <c r="J460" s="3" t="s">
        <v>104</v>
      </c>
      <c r="K460" s="3" t="s">
        <v>27</v>
      </c>
      <c r="L460" s="4">
        <v>1</v>
      </c>
      <c r="M460" s="3">
        <v>530</v>
      </c>
      <c r="N460" s="3">
        <v>840</v>
      </c>
      <c r="O460" s="15">
        <f>Bike_Sales[[#This Row],[Order_Quantity]]*Bike_Sales[[#This Row],[Unit_Price]]</f>
        <v>840</v>
      </c>
      <c r="P460" s="15">
        <f>Bike_Sales[[#This Row],[Order_Quantity]]*Bike_Sales[[#This Row],[Unit_Cost]]</f>
        <v>530</v>
      </c>
      <c r="Q460" s="15">
        <f>Bike_Sales[[#This Row],[Total Sales]]-Bike_Sales[[#This Row],[Total Cost]]</f>
        <v>310</v>
      </c>
      <c r="R460" s="17">
        <f>Bike_Sales[[#This Row],[Profit]]/Bike_Sales[[#This Row],[Total Sales]]</f>
        <v>0.36904761904761907</v>
      </c>
      <c r="S460" s="16" t="str">
        <f t="shared" si="7"/>
        <v>35-44</v>
      </c>
    </row>
    <row r="461" spans="1:19" x14ac:dyDescent="0.35">
      <c r="A461" s="2">
        <v>44544</v>
      </c>
      <c r="B461" s="2" t="str">
        <f>TEXT(Bike_Sales[[#This Row],[Date]],"mmmm")</f>
        <v>December</v>
      </c>
      <c r="C461" s="19">
        <f>MONTH(Bike_Sales[[#This Row],[Date]])</f>
        <v>12</v>
      </c>
      <c r="D461" s="2" t="str">
        <f>TEXT(Bike_Sales[[#This Row],[Date]],"dddd")</f>
        <v>Tuesday</v>
      </c>
      <c r="E461" s="3">
        <v>37</v>
      </c>
      <c r="F461" s="3" t="s">
        <v>126</v>
      </c>
      <c r="G461" s="3" t="s">
        <v>33</v>
      </c>
      <c r="H461" s="3" t="s">
        <v>56</v>
      </c>
      <c r="I461" s="3" t="s">
        <v>11</v>
      </c>
      <c r="J461" s="3" t="s">
        <v>104</v>
      </c>
      <c r="K461" s="3" t="s">
        <v>53</v>
      </c>
      <c r="L461" s="4">
        <v>1</v>
      </c>
      <c r="M461" s="3">
        <v>500</v>
      </c>
      <c r="N461" s="3">
        <v>800</v>
      </c>
      <c r="O461" s="15">
        <f>Bike_Sales[[#This Row],[Order_Quantity]]*Bike_Sales[[#This Row],[Unit_Price]]</f>
        <v>800</v>
      </c>
      <c r="P461" s="15">
        <f>Bike_Sales[[#This Row],[Order_Quantity]]*Bike_Sales[[#This Row],[Unit_Cost]]</f>
        <v>500</v>
      </c>
      <c r="Q461" s="15">
        <f>Bike_Sales[[#This Row],[Total Sales]]-Bike_Sales[[#This Row],[Total Cost]]</f>
        <v>300</v>
      </c>
      <c r="R461" s="17">
        <f>Bike_Sales[[#This Row],[Profit]]/Bike_Sales[[#This Row],[Total Sales]]</f>
        <v>0.375</v>
      </c>
      <c r="S461" s="16" t="str">
        <f t="shared" si="7"/>
        <v>35-44</v>
      </c>
    </row>
    <row r="462" spans="1:19" x14ac:dyDescent="0.35">
      <c r="A462" s="2">
        <v>44547</v>
      </c>
      <c r="B462" s="2" t="str">
        <f>TEXT(Bike_Sales[[#This Row],[Date]],"mmmm")</f>
        <v>December</v>
      </c>
      <c r="C462" s="19">
        <f>MONTH(Bike_Sales[[#This Row],[Date]])</f>
        <v>12</v>
      </c>
      <c r="D462" s="2" t="str">
        <f>TEXT(Bike_Sales[[#This Row],[Date]],"dddd")</f>
        <v>Friday</v>
      </c>
      <c r="E462" s="3">
        <v>37</v>
      </c>
      <c r="F462" s="3" t="s">
        <v>135</v>
      </c>
      <c r="G462" s="3" t="s">
        <v>9</v>
      </c>
      <c r="H462" s="3" t="s">
        <v>37</v>
      </c>
      <c r="I462" s="3" t="s">
        <v>16</v>
      </c>
      <c r="J462" s="3" t="s">
        <v>103</v>
      </c>
      <c r="K462" s="3" t="s">
        <v>22</v>
      </c>
      <c r="L462" s="4">
        <v>2</v>
      </c>
      <c r="M462" s="3">
        <v>550</v>
      </c>
      <c r="N462" s="3">
        <v>850</v>
      </c>
      <c r="O462" s="15">
        <f>Bike_Sales[[#This Row],[Order_Quantity]]*Bike_Sales[[#This Row],[Unit_Price]]</f>
        <v>1700</v>
      </c>
      <c r="P462" s="15">
        <f>Bike_Sales[[#This Row],[Order_Quantity]]*Bike_Sales[[#This Row],[Unit_Cost]]</f>
        <v>1100</v>
      </c>
      <c r="Q462" s="15">
        <f>Bike_Sales[[#This Row],[Total Sales]]-Bike_Sales[[#This Row],[Total Cost]]</f>
        <v>600</v>
      </c>
      <c r="R462" s="17">
        <f>Bike_Sales[[#This Row],[Profit]]/Bike_Sales[[#This Row],[Total Sales]]</f>
        <v>0.35294117647058826</v>
      </c>
      <c r="S462" s="16" t="str">
        <f t="shared" si="7"/>
        <v>35-44</v>
      </c>
    </row>
    <row r="463" spans="1:19" x14ac:dyDescent="0.35">
      <c r="A463" s="2">
        <v>44549</v>
      </c>
      <c r="B463" s="2" t="str">
        <f>TEXT(Bike_Sales[[#This Row],[Date]],"mmmm")</f>
        <v>December</v>
      </c>
      <c r="C463" s="19">
        <f>MONTH(Bike_Sales[[#This Row],[Date]])</f>
        <v>12</v>
      </c>
      <c r="D463" s="2" t="str">
        <f>TEXT(Bike_Sales[[#This Row],[Date]],"dddd")</f>
        <v>Sunday</v>
      </c>
      <c r="E463" s="3">
        <v>37</v>
      </c>
      <c r="F463" s="3" t="s">
        <v>126</v>
      </c>
      <c r="G463" s="3" t="s">
        <v>9</v>
      </c>
      <c r="H463" s="3" t="s">
        <v>69</v>
      </c>
      <c r="I463" s="3" t="s">
        <v>16</v>
      </c>
      <c r="J463" s="3" t="s">
        <v>101</v>
      </c>
      <c r="K463" s="3" t="s">
        <v>17</v>
      </c>
      <c r="L463" s="4">
        <v>4</v>
      </c>
      <c r="M463" s="3">
        <v>550</v>
      </c>
      <c r="N463" s="3">
        <v>850</v>
      </c>
      <c r="O463" s="15">
        <f>Bike_Sales[[#This Row],[Order_Quantity]]*Bike_Sales[[#This Row],[Unit_Price]]</f>
        <v>3400</v>
      </c>
      <c r="P463" s="15">
        <f>Bike_Sales[[#This Row],[Order_Quantity]]*Bike_Sales[[#This Row],[Unit_Cost]]</f>
        <v>2200</v>
      </c>
      <c r="Q463" s="15">
        <f>Bike_Sales[[#This Row],[Total Sales]]-Bike_Sales[[#This Row],[Total Cost]]</f>
        <v>1200</v>
      </c>
      <c r="R463" s="17">
        <f>Bike_Sales[[#This Row],[Profit]]/Bike_Sales[[#This Row],[Total Sales]]</f>
        <v>0.35294117647058826</v>
      </c>
      <c r="S463" s="16" t="str">
        <f t="shared" si="7"/>
        <v>35-44</v>
      </c>
    </row>
    <row r="464" spans="1:19" x14ac:dyDescent="0.35">
      <c r="A464" s="2">
        <v>44553</v>
      </c>
      <c r="B464" s="2" t="str">
        <f>TEXT(Bike_Sales[[#This Row],[Date]],"mmmm")</f>
        <v>December</v>
      </c>
      <c r="C464" s="19">
        <f>MONTH(Bike_Sales[[#This Row],[Date]])</f>
        <v>12</v>
      </c>
      <c r="D464" s="2" t="str">
        <f>TEXT(Bike_Sales[[#This Row],[Date]],"dddd")</f>
        <v>Thursday</v>
      </c>
      <c r="E464" s="3">
        <v>37</v>
      </c>
      <c r="F464" s="3" t="s">
        <v>135</v>
      </c>
      <c r="G464" s="3" t="s">
        <v>39</v>
      </c>
      <c r="H464" s="3" t="s">
        <v>76</v>
      </c>
      <c r="I464" s="3" t="s">
        <v>11</v>
      </c>
      <c r="J464" s="3" t="s">
        <v>102</v>
      </c>
      <c r="K464" s="3" t="s">
        <v>43</v>
      </c>
      <c r="L464" s="4">
        <v>1</v>
      </c>
      <c r="M464" s="3">
        <v>900</v>
      </c>
      <c r="N464" s="3">
        <v>1400</v>
      </c>
      <c r="O464" s="15">
        <f>Bike_Sales[[#This Row],[Order_Quantity]]*Bike_Sales[[#This Row],[Unit_Price]]</f>
        <v>1400</v>
      </c>
      <c r="P464" s="15">
        <f>Bike_Sales[[#This Row],[Order_Quantity]]*Bike_Sales[[#This Row],[Unit_Cost]]</f>
        <v>900</v>
      </c>
      <c r="Q464" s="15">
        <f>Bike_Sales[[#This Row],[Total Sales]]-Bike_Sales[[#This Row],[Total Cost]]</f>
        <v>500</v>
      </c>
      <c r="R464" s="17">
        <f>Bike_Sales[[#This Row],[Profit]]/Bike_Sales[[#This Row],[Total Sales]]</f>
        <v>0.35714285714285715</v>
      </c>
      <c r="S464" s="16" t="str">
        <f t="shared" si="7"/>
        <v>35-44</v>
      </c>
    </row>
    <row r="465" spans="1:19" x14ac:dyDescent="0.35">
      <c r="A465" s="2">
        <v>44554</v>
      </c>
      <c r="B465" s="2" t="str">
        <f>TEXT(Bike_Sales[[#This Row],[Date]],"mmmm")</f>
        <v>December</v>
      </c>
      <c r="C465" s="19">
        <f>MONTH(Bike_Sales[[#This Row],[Date]])</f>
        <v>12</v>
      </c>
      <c r="D465" s="2" t="str">
        <f>TEXT(Bike_Sales[[#This Row],[Date]],"dddd")</f>
        <v>Friday</v>
      </c>
      <c r="E465" s="3">
        <v>37</v>
      </c>
      <c r="F465" s="3" t="s">
        <v>135</v>
      </c>
      <c r="G465" s="3" t="s">
        <v>18</v>
      </c>
      <c r="H465" s="3" t="s">
        <v>35</v>
      </c>
      <c r="I465" s="3" t="s">
        <v>16</v>
      </c>
      <c r="J465" s="3" t="s">
        <v>103</v>
      </c>
      <c r="K465" s="3" t="s">
        <v>22</v>
      </c>
      <c r="L465" s="4">
        <v>1</v>
      </c>
      <c r="M465" s="3">
        <v>550</v>
      </c>
      <c r="N465" s="3">
        <v>850</v>
      </c>
      <c r="O465" s="15">
        <f>Bike_Sales[[#This Row],[Order_Quantity]]*Bike_Sales[[#This Row],[Unit_Price]]</f>
        <v>850</v>
      </c>
      <c r="P465" s="15">
        <f>Bike_Sales[[#This Row],[Order_Quantity]]*Bike_Sales[[#This Row],[Unit_Cost]]</f>
        <v>550</v>
      </c>
      <c r="Q465" s="15">
        <f>Bike_Sales[[#This Row],[Total Sales]]-Bike_Sales[[#This Row],[Total Cost]]</f>
        <v>300</v>
      </c>
      <c r="R465" s="17">
        <f>Bike_Sales[[#This Row],[Profit]]/Bike_Sales[[#This Row],[Total Sales]]</f>
        <v>0.35294117647058826</v>
      </c>
      <c r="S465" s="16" t="str">
        <f t="shared" si="7"/>
        <v>35-44</v>
      </c>
    </row>
    <row r="466" spans="1:19" x14ac:dyDescent="0.35">
      <c r="A466" s="2">
        <v>44555</v>
      </c>
      <c r="B466" s="2" t="str">
        <f>TEXT(Bike_Sales[[#This Row],[Date]],"mmmm")</f>
        <v>December</v>
      </c>
      <c r="C466" s="19">
        <f>MONTH(Bike_Sales[[#This Row],[Date]])</f>
        <v>12</v>
      </c>
      <c r="D466" s="2" t="str">
        <f>TEXT(Bike_Sales[[#This Row],[Date]],"dddd")</f>
        <v>Saturday</v>
      </c>
      <c r="E466" s="3">
        <v>37</v>
      </c>
      <c r="F466" s="3" t="s">
        <v>135</v>
      </c>
      <c r="G466" s="3" t="s">
        <v>33</v>
      </c>
      <c r="H466" s="3" t="s">
        <v>136</v>
      </c>
      <c r="I466" s="3" t="s">
        <v>16</v>
      </c>
      <c r="J466" s="3" t="s">
        <v>103</v>
      </c>
      <c r="K466" s="3" t="s">
        <v>22</v>
      </c>
      <c r="L466" s="4">
        <v>3</v>
      </c>
      <c r="M466" s="3">
        <v>550</v>
      </c>
      <c r="N466" s="3">
        <v>850</v>
      </c>
      <c r="O466" s="15">
        <f>Bike_Sales[[#This Row],[Order_Quantity]]*Bike_Sales[[#This Row],[Unit_Price]]</f>
        <v>2550</v>
      </c>
      <c r="P466" s="15">
        <f>Bike_Sales[[#This Row],[Order_Quantity]]*Bike_Sales[[#This Row],[Unit_Cost]]</f>
        <v>1650</v>
      </c>
      <c r="Q466" s="15">
        <f>Bike_Sales[[#This Row],[Total Sales]]-Bike_Sales[[#This Row],[Total Cost]]</f>
        <v>900</v>
      </c>
      <c r="R466" s="17">
        <f>Bike_Sales[[#This Row],[Profit]]/Bike_Sales[[#This Row],[Total Sales]]</f>
        <v>0.35294117647058826</v>
      </c>
      <c r="S466" s="16" t="str">
        <f t="shared" si="7"/>
        <v>35-44</v>
      </c>
    </row>
    <row r="467" spans="1:19" x14ac:dyDescent="0.35">
      <c r="A467" s="2">
        <v>44557</v>
      </c>
      <c r="B467" s="2" t="str">
        <f>TEXT(Bike_Sales[[#This Row],[Date]],"mmmm")</f>
        <v>December</v>
      </c>
      <c r="C467" s="19">
        <f>MONTH(Bike_Sales[[#This Row],[Date]])</f>
        <v>12</v>
      </c>
      <c r="D467" s="2" t="str">
        <f>TEXT(Bike_Sales[[#This Row],[Date]],"dddd")</f>
        <v>Monday</v>
      </c>
      <c r="E467" s="3">
        <v>37</v>
      </c>
      <c r="F467" s="3" t="s">
        <v>126</v>
      </c>
      <c r="G467" s="3" t="s">
        <v>13</v>
      </c>
      <c r="H467" s="3" t="s">
        <v>127</v>
      </c>
      <c r="I467" s="3" t="s">
        <v>11</v>
      </c>
      <c r="J467" s="3" t="s">
        <v>101</v>
      </c>
      <c r="K467" s="3" t="s">
        <v>67</v>
      </c>
      <c r="L467" s="4">
        <v>2</v>
      </c>
      <c r="M467" s="3">
        <v>700</v>
      </c>
      <c r="N467" s="3">
        <v>1100</v>
      </c>
      <c r="O467" s="15">
        <f>Bike_Sales[[#This Row],[Order_Quantity]]*Bike_Sales[[#This Row],[Unit_Price]]</f>
        <v>2200</v>
      </c>
      <c r="P467" s="15">
        <f>Bike_Sales[[#This Row],[Order_Quantity]]*Bike_Sales[[#This Row],[Unit_Cost]]</f>
        <v>1400</v>
      </c>
      <c r="Q467" s="15">
        <f>Bike_Sales[[#This Row],[Total Sales]]-Bike_Sales[[#This Row],[Total Cost]]</f>
        <v>800</v>
      </c>
      <c r="R467" s="17">
        <f>Bike_Sales[[#This Row],[Profit]]/Bike_Sales[[#This Row],[Total Sales]]</f>
        <v>0.36363636363636365</v>
      </c>
      <c r="S467" s="16" t="str">
        <f t="shared" si="7"/>
        <v>35-44</v>
      </c>
    </row>
    <row r="468" spans="1:19" x14ac:dyDescent="0.35">
      <c r="A468" s="2">
        <v>44471</v>
      </c>
      <c r="B468" s="2" t="str">
        <f>TEXT(Bike_Sales[[#This Row],[Date]],"mmmm")</f>
        <v>October</v>
      </c>
      <c r="C468" s="19">
        <f>MONTH(Bike_Sales[[#This Row],[Date]])</f>
        <v>10</v>
      </c>
      <c r="D468" s="2" t="str">
        <f>TEXT(Bike_Sales[[#This Row],[Date]],"dddd")</f>
        <v>Saturday</v>
      </c>
      <c r="E468" s="3">
        <v>38</v>
      </c>
      <c r="F468" s="3" t="s">
        <v>135</v>
      </c>
      <c r="G468" s="3" t="s">
        <v>129</v>
      </c>
      <c r="H468" s="3" t="s">
        <v>15</v>
      </c>
      <c r="I468" s="3" t="s">
        <v>11</v>
      </c>
      <c r="J468" s="3" t="s">
        <v>102</v>
      </c>
      <c r="K468" s="3" t="s">
        <v>28</v>
      </c>
      <c r="L468" s="4">
        <v>1</v>
      </c>
      <c r="M468" s="3">
        <v>580</v>
      </c>
      <c r="N468" s="3">
        <v>920</v>
      </c>
      <c r="O468" s="15">
        <f>Bike_Sales[[#This Row],[Order_Quantity]]*Bike_Sales[[#This Row],[Unit_Price]]</f>
        <v>920</v>
      </c>
      <c r="P468" s="15">
        <f>Bike_Sales[[#This Row],[Order_Quantity]]*Bike_Sales[[#This Row],[Unit_Cost]]</f>
        <v>580</v>
      </c>
      <c r="Q468" s="15">
        <f>Bike_Sales[[#This Row],[Total Sales]]-Bike_Sales[[#This Row],[Total Cost]]</f>
        <v>340</v>
      </c>
      <c r="R468" s="17">
        <f>Bike_Sales[[#This Row],[Profit]]/Bike_Sales[[#This Row],[Total Sales]]</f>
        <v>0.36956521739130432</v>
      </c>
      <c r="S468" s="16" t="str">
        <f t="shared" si="7"/>
        <v>35-44</v>
      </c>
    </row>
    <row r="469" spans="1:19" x14ac:dyDescent="0.35">
      <c r="A469" s="2">
        <v>44472</v>
      </c>
      <c r="B469" s="2" t="str">
        <f>TEXT(Bike_Sales[[#This Row],[Date]],"mmmm")</f>
        <v>October</v>
      </c>
      <c r="C469" s="19">
        <f>MONTH(Bike_Sales[[#This Row],[Date]])</f>
        <v>10</v>
      </c>
      <c r="D469" s="2" t="str">
        <f>TEXT(Bike_Sales[[#This Row],[Date]],"dddd")</f>
        <v>Sunday</v>
      </c>
      <c r="E469" s="3">
        <v>38</v>
      </c>
      <c r="F469" s="3" t="s">
        <v>135</v>
      </c>
      <c r="G469" s="3" t="s">
        <v>18</v>
      </c>
      <c r="H469" s="3" t="s">
        <v>35</v>
      </c>
      <c r="I469" s="3" t="s">
        <v>11</v>
      </c>
      <c r="J469" s="3" t="s">
        <v>102</v>
      </c>
      <c r="K469" s="3" t="s">
        <v>36</v>
      </c>
      <c r="L469" s="4">
        <v>1</v>
      </c>
      <c r="M469" s="3">
        <v>580</v>
      </c>
      <c r="N469" s="3">
        <v>920</v>
      </c>
      <c r="O469" s="15">
        <f>Bike_Sales[[#This Row],[Order_Quantity]]*Bike_Sales[[#This Row],[Unit_Price]]</f>
        <v>920</v>
      </c>
      <c r="P469" s="15">
        <f>Bike_Sales[[#This Row],[Order_Quantity]]*Bike_Sales[[#This Row],[Unit_Cost]]</f>
        <v>580</v>
      </c>
      <c r="Q469" s="15">
        <f>Bike_Sales[[#This Row],[Total Sales]]-Bike_Sales[[#This Row],[Total Cost]]</f>
        <v>340</v>
      </c>
      <c r="R469" s="17">
        <f>Bike_Sales[[#This Row],[Profit]]/Bike_Sales[[#This Row],[Total Sales]]</f>
        <v>0.36956521739130432</v>
      </c>
      <c r="S469" s="16" t="str">
        <f t="shared" si="7"/>
        <v>35-44</v>
      </c>
    </row>
    <row r="470" spans="1:19" x14ac:dyDescent="0.35">
      <c r="A470" s="2">
        <v>44473</v>
      </c>
      <c r="B470" s="2" t="str">
        <f>TEXT(Bike_Sales[[#This Row],[Date]],"mmmm")</f>
        <v>October</v>
      </c>
      <c r="C470" s="19">
        <f>MONTH(Bike_Sales[[#This Row],[Date]])</f>
        <v>10</v>
      </c>
      <c r="D470" s="2" t="str">
        <f>TEXT(Bike_Sales[[#This Row],[Date]],"dddd")</f>
        <v>Monday</v>
      </c>
      <c r="E470" s="3">
        <v>38</v>
      </c>
      <c r="F470" s="3" t="s">
        <v>126</v>
      </c>
      <c r="G470" s="3" t="s">
        <v>129</v>
      </c>
      <c r="H470" s="3" t="s">
        <v>15</v>
      </c>
      <c r="I470" s="3" t="s">
        <v>16</v>
      </c>
      <c r="J470" s="3" t="s">
        <v>103</v>
      </c>
      <c r="K470" s="3" t="s">
        <v>45</v>
      </c>
      <c r="L470" s="4">
        <v>1</v>
      </c>
      <c r="M470" s="3">
        <v>550</v>
      </c>
      <c r="N470" s="3">
        <v>850</v>
      </c>
      <c r="O470" s="15">
        <f>Bike_Sales[[#This Row],[Order_Quantity]]*Bike_Sales[[#This Row],[Unit_Price]]</f>
        <v>850</v>
      </c>
      <c r="P470" s="15">
        <f>Bike_Sales[[#This Row],[Order_Quantity]]*Bike_Sales[[#This Row],[Unit_Cost]]</f>
        <v>550</v>
      </c>
      <c r="Q470" s="15">
        <f>Bike_Sales[[#This Row],[Total Sales]]-Bike_Sales[[#This Row],[Total Cost]]</f>
        <v>300</v>
      </c>
      <c r="R470" s="17">
        <f>Bike_Sales[[#This Row],[Profit]]/Bike_Sales[[#This Row],[Total Sales]]</f>
        <v>0.35294117647058826</v>
      </c>
      <c r="S470" s="16" t="str">
        <f t="shared" si="7"/>
        <v>35-44</v>
      </c>
    </row>
    <row r="471" spans="1:19" x14ac:dyDescent="0.35">
      <c r="A471" s="2">
        <v>44473</v>
      </c>
      <c r="B471" s="2" t="str">
        <f>TEXT(Bike_Sales[[#This Row],[Date]],"mmmm")</f>
        <v>October</v>
      </c>
      <c r="C471" s="19">
        <f>MONTH(Bike_Sales[[#This Row],[Date]])</f>
        <v>10</v>
      </c>
      <c r="D471" s="2" t="str">
        <f>TEXT(Bike_Sales[[#This Row],[Date]],"dddd")</f>
        <v>Monday</v>
      </c>
      <c r="E471" s="3">
        <v>38</v>
      </c>
      <c r="F471" s="3" t="s">
        <v>126</v>
      </c>
      <c r="G471" s="3" t="s">
        <v>129</v>
      </c>
      <c r="H471" s="3" t="s">
        <v>15</v>
      </c>
      <c r="I471" s="3" t="s">
        <v>11</v>
      </c>
      <c r="J471" s="3" t="s">
        <v>101</v>
      </c>
      <c r="K471" s="3" t="s">
        <v>46</v>
      </c>
      <c r="L471" s="4">
        <v>1</v>
      </c>
      <c r="M471" s="3">
        <v>580</v>
      </c>
      <c r="N471" s="3">
        <v>920</v>
      </c>
      <c r="O471" s="15">
        <f>Bike_Sales[[#This Row],[Order_Quantity]]*Bike_Sales[[#This Row],[Unit_Price]]</f>
        <v>920</v>
      </c>
      <c r="P471" s="15">
        <f>Bike_Sales[[#This Row],[Order_Quantity]]*Bike_Sales[[#This Row],[Unit_Cost]]</f>
        <v>580</v>
      </c>
      <c r="Q471" s="15">
        <f>Bike_Sales[[#This Row],[Total Sales]]-Bike_Sales[[#This Row],[Total Cost]]</f>
        <v>340</v>
      </c>
      <c r="R471" s="17">
        <f>Bike_Sales[[#This Row],[Profit]]/Bike_Sales[[#This Row],[Total Sales]]</f>
        <v>0.36956521739130432</v>
      </c>
      <c r="S471" s="16" t="str">
        <f t="shared" si="7"/>
        <v>35-44</v>
      </c>
    </row>
    <row r="472" spans="1:19" x14ac:dyDescent="0.35">
      <c r="A472" s="2">
        <v>44479</v>
      </c>
      <c r="B472" s="2" t="str">
        <f>TEXT(Bike_Sales[[#This Row],[Date]],"mmmm")</f>
        <v>October</v>
      </c>
      <c r="C472" s="19">
        <f>MONTH(Bike_Sales[[#This Row],[Date]])</f>
        <v>10</v>
      </c>
      <c r="D472" s="2" t="str">
        <f>TEXT(Bike_Sales[[#This Row],[Date]],"dddd")</f>
        <v>Sunday</v>
      </c>
      <c r="E472" s="3">
        <v>38</v>
      </c>
      <c r="F472" s="3" t="s">
        <v>126</v>
      </c>
      <c r="G472" s="3" t="s">
        <v>129</v>
      </c>
      <c r="H472" s="3" t="s">
        <v>15</v>
      </c>
      <c r="I472" s="3" t="s">
        <v>11</v>
      </c>
      <c r="J472" s="3" t="s">
        <v>101</v>
      </c>
      <c r="K472" s="3" t="s">
        <v>46</v>
      </c>
      <c r="L472" s="4">
        <v>3</v>
      </c>
      <c r="M472" s="3">
        <v>580</v>
      </c>
      <c r="N472" s="3">
        <v>920</v>
      </c>
      <c r="O472" s="15">
        <f>Bike_Sales[[#This Row],[Order_Quantity]]*Bike_Sales[[#This Row],[Unit_Price]]</f>
        <v>2760</v>
      </c>
      <c r="P472" s="15">
        <f>Bike_Sales[[#This Row],[Order_Quantity]]*Bike_Sales[[#This Row],[Unit_Cost]]</f>
        <v>1740</v>
      </c>
      <c r="Q472" s="15">
        <f>Bike_Sales[[#This Row],[Total Sales]]-Bike_Sales[[#This Row],[Total Cost]]</f>
        <v>1020</v>
      </c>
      <c r="R472" s="17">
        <f>Bike_Sales[[#This Row],[Profit]]/Bike_Sales[[#This Row],[Total Sales]]</f>
        <v>0.36956521739130432</v>
      </c>
      <c r="S472" s="16" t="str">
        <f t="shared" si="7"/>
        <v>35-44</v>
      </c>
    </row>
    <row r="473" spans="1:19" x14ac:dyDescent="0.35">
      <c r="A473" s="2">
        <v>44482</v>
      </c>
      <c r="B473" s="2" t="str">
        <f>TEXT(Bike_Sales[[#This Row],[Date]],"mmmm")</f>
        <v>October</v>
      </c>
      <c r="C473" s="19">
        <f>MONTH(Bike_Sales[[#This Row],[Date]])</f>
        <v>10</v>
      </c>
      <c r="D473" s="2" t="str">
        <f>TEXT(Bike_Sales[[#This Row],[Date]],"dddd")</f>
        <v>Wednesday</v>
      </c>
      <c r="E473" s="3">
        <v>38</v>
      </c>
      <c r="F473" s="3" t="s">
        <v>126</v>
      </c>
      <c r="G473" s="3" t="s">
        <v>129</v>
      </c>
      <c r="H473" s="3" t="s">
        <v>15</v>
      </c>
      <c r="I473" s="3" t="s">
        <v>16</v>
      </c>
      <c r="J473" s="3" t="s">
        <v>103</v>
      </c>
      <c r="K473" s="3" t="s">
        <v>45</v>
      </c>
      <c r="L473" s="4">
        <v>1</v>
      </c>
      <c r="M473" s="3">
        <v>550</v>
      </c>
      <c r="N473" s="3">
        <v>850</v>
      </c>
      <c r="O473" s="15">
        <f>Bike_Sales[[#This Row],[Order_Quantity]]*Bike_Sales[[#This Row],[Unit_Price]]</f>
        <v>850</v>
      </c>
      <c r="P473" s="15">
        <f>Bike_Sales[[#This Row],[Order_Quantity]]*Bike_Sales[[#This Row],[Unit_Cost]]</f>
        <v>550</v>
      </c>
      <c r="Q473" s="15">
        <f>Bike_Sales[[#This Row],[Total Sales]]-Bike_Sales[[#This Row],[Total Cost]]</f>
        <v>300</v>
      </c>
      <c r="R473" s="17">
        <f>Bike_Sales[[#This Row],[Profit]]/Bike_Sales[[#This Row],[Total Sales]]</f>
        <v>0.35294117647058826</v>
      </c>
      <c r="S473" s="16" t="str">
        <f t="shared" si="7"/>
        <v>35-44</v>
      </c>
    </row>
    <row r="474" spans="1:19" x14ac:dyDescent="0.35">
      <c r="A474" s="2">
        <v>44485</v>
      </c>
      <c r="B474" s="2" t="str">
        <f>TEXT(Bike_Sales[[#This Row],[Date]],"mmmm")</f>
        <v>October</v>
      </c>
      <c r="C474" s="19">
        <f>MONTH(Bike_Sales[[#This Row],[Date]])</f>
        <v>10</v>
      </c>
      <c r="D474" s="2" t="str">
        <f>TEXT(Bike_Sales[[#This Row],[Date]],"dddd")</f>
        <v>Saturday</v>
      </c>
      <c r="E474" s="3">
        <v>38</v>
      </c>
      <c r="F474" s="3" t="s">
        <v>135</v>
      </c>
      <c r="G474" s="3" t="s">
        <v>129</v>
      </c>
      <c r="H474" s="3" t="s">
        <v>15</v>
      </c>
      <c r="I474" s="3" t="s">
        <v>11</v>
      </c>
      <c r="J474" s="3" t="s">
        <v>102</v>
      </c>
      <c r="K474" s="3" t="s">
        <v>28</v>
      </c>
      <c r="L474" s="4">
        <v>1</v>
      </c>
      <c r="M474" s="3">
        <v>580</v>
      </c>
      <c r="N474" s="3">
        <v>920</v>
      </c>
      <c r="O474" s="15">
        <f>Bike_Sales[[#This Row],[Order_Quantity]]*Bike_Sales[[#This Row],[Unit_Price]]</f>
        <v>920</v>
      </c>
      <c r="P474" s="15">
        <f>Bike_Sales[[#This Row],[Order_Quantity]]*Bike_Sales[[#This Row],[Unit_Cost]]</f>
        <v>580</v>
      </c>
      <c r="Q474" s="15">
        <f>Bike_Sales[[#This Row],[Total Sales]]-Bike_Sales[[#This Row],[Total Cost]]</f>
        <v>340</v>
      </c>
      <c r="R474" s="17">
        <f>Bike_Sales[[#This Row],[Profit]]/Bike_Sales[[#This Row],[Total Sales]]</f>
        <v>0.36956521739130432</v>
      </c>
      <c r="S474" s="16" t="str">
        <f t="shared" si="7"/>
        <v>35-44</v>
      </c>
    </row>
    <row r="475" spans="1:19" x14ac:dyDescent="0.35">
      <c r="A475" s="2">
        <v>44490</v>
      </c>
      <c r="B475" s="2" t="str">
        <f>TEXT(Bike_Sales[[#This Row],[Date]],"mmmm")</f>
        <v>October</v>
      </c>
      <c r="C475" s="19">
        <f>MONTH(Bike_Sales[[#This Row],[Date]])</f>
        <v>10</v>
      </c>
      <c r="D475" s="2" t="str">
        <f>TEXT(Bike_Sales[[#This Row],[Date]],"dddd")</f>
        <v>Thursday</v>
      </c>
      <c r="E475" s="3">
        <v>38</v>
      </c>
      <c r="F475" s="3" t="s">
        <v>135</v>
      </c>
      <c r="G475" s="3" t="s">
        <v>129</v>
      </c>
      <c r="H475" s="3" t="s">
        <v>15</v>
      </c>
      <c r="I475" s="3" t="s">
        <v>11</v>
      </c>
      <c r="J475" s="3" t="s">
        <v>102</v>
      </c>
      <c r="K475" s="3" t="s">
        <v>26</v>
      </c>
      <c r="L475" s="4">
        <v>1</v>
      </c>
      <c r="M475" s="3">
        <v>900</v>
      </c>
      <c r="N475" s="3">
        <v>1400</v>
      </c>
      <c r="O475" s="15">
        <f>Bike_Sales[[#This Row],[Order_Quantity]]*Bike_Sales[[#This Row],[Unit_Price]]</f>
        <v>1400</v>
      </c>
      <c r="P475" s="15">
        <f>Bike_Sales[[#This Row],[Order_Quantity]]*Bike_Sales[[#This Row],[Unit_Cost]]</f>
        <v>900</v>
      </c>
      <c r="Q475" s="15">
        <f>Bike_Sales[[#This Row],[Total Sales]]-Bike_Sales[[#This Row],[Total Cost]]</f>
        <v>500</v>
      </c>
      <c r="R475" s="17">
        <f>Bike_Sales[[#This Row],[Profit]]/Bike_Sales[[#This Row],[Total Sales]]</f>
        <v>0.35714285714285715</v>
      </c>
      <c r="S475" s="16" t="str">
        <f t="shared" si="7"/>
        <v>35-44</v>
      </c>
    </row>
    <row r="476" spans="1:19" x14ac:dyDescent="0.35">
      <c r="A476" s="2">
        <v>44520</v>
      </c>
      <c r="B476" s="2" t="str">
        <f>TEXT(Bike_Sales[[#This Row],[Date]],"mmmm")</f>
        <v>November</v>
      </c>
      <c r="C476" s="19">
        <f>MONTH(Bike_Sales[[#This Row],[Date]])</f>
        <v>11</v>
      </c>
      <c r="D476" s="2" t="str">
        <f>TEXT(Bike_Sales[[#This Row],[Date]],"dddd")</f>
        <v>Saturday</v>
      </c>
      <c r="E476" s="3">
        <v>38</v>
      </c>
      <c r="F476" s="3" t="s">
        <v>135</v>
      </c>
      <c r="G476" s="3" t="s">
        <v>18</v>
      </c>
      <c r="H476" s="3" t="s">
        <v>19</v>
      </c>
      <c r="I476" s="3" t="s">
        <v>16</v>
      </c>
      <c r="J476" s="3" t="s">
        <v>101</v>
      </c>
      <c r="K476" s="3" t="s">
        <v>17</v>
      </c>
      <c r="L476" s="4">
        <v>2</v>
      </c>
      <c r="M476" s="3">
        <v>550</v>
      </c>
      <c r="N476" s="3">
        <v>850</v>
      </c>
      <c r="O476" s="15">
        <f>Bike_Sales[[#This Row],[Order_Quantity]]*Bike_Sales[[#This Row],[Unit_Price]]</f>
        <v>1700</v>
      </c>
      <c r="P476" s="15">
        <f>Bike_Sales[[#This Row],[Order_Quantity]]*Bike_Sales[[#This Row],[Unit_Cost]]</f>
        <v>1100</v>
      </c>
      <c r="Q476" s="15">
        <f>Bike_Sales[[#This Row],[Total Sales]]-Bike_Sales[[#This Row],[Total Cost]]</f>
        <v>600</v>
      </c>
      <c r="R476" s="17">
        <f>Bike_Sales[[#This Row],[Profit]]/Bike_Sales[[#This Row],[Total Sales]]</f>
        <v>0.35294117647058826</v>
      </c>
      <c r="S476" s="16" t="str">
        <f t="shared" si="7"/>
        <v>35-44</v>
      </c>
    </row>
    <row r="477" spans="1:19" x14ac:dyDescent="0.35">
      <c r="A477" s="2">
        <v>44527</v>
      </c>
      <c r="B477" s="2" t="str">
        <f>TEXT(Bike_Sales[[#This Row],[Date]],"mmmm")</f>
        <v>November</v>
      </c>
      <c r="C477" s="19">
        <f>MONTH(Bike_Sales[[#This Row],[Date]])</f>
        <v>11</v>
      </c>
      <c r="D477" s="2" t="str">
        <f>TEXT(Bike_Sales[[#This Row],[Date]],"dddd")</f>
        <v>Saturday</v>
      </c>
      <c r="E477" s="3">
        <v>38</v>
      </c>
      <c r="F477" s="3" t="s">
        <v>126</v>
      </c>
      <c r="G477" s="3" t="s">
        <v>39</v>
      </c>
      <c r="H477" s="3" t="s">
        <v>80</v>
      </c>
      <c r="I477" s="3" t="s">
        <v>11</v>
      </c>
      <c r="J477" s="3" t="s">
        <v>104</v>
      </c>
      <c r="K477" s="3" t="s">
        <v>27</v>
      </c>
      <c r="L477" s="4">
        <v>1</v>
      </c>
      <c r="M477" s="3">
        <v>530</v>
      </c>
      <c r="N477" s="3">
        <v>840</v>
      </c>
      <c r="O477" s="15">
        <f>Bike_Sales[[#This Row],[Order_Quantity]]*Bike_Sales[[#This Row],[Unit_Price]]</f>
        <v>840</v>
      </c>
      <c r="P477" s="15">
        <f>Bike_Sales[[#This Row],[Order_Quantity]]*Bike_Sales[[#This Row],[Unit_Cost]]</f>
        <v>530</v>
      </c>
      <c r="Q477" s="15">
        <f>Bike_Sales[[#This Row],[Total Sales]]-Bike_Sales[[#This Row],[Total Cost]]</f>
        <v>310</v>
      </c>
      <c r="R477" s="17">
        <f>Bike_Sales[[#This Row],[Profit]]/Bike_Sales[[#This Row],[Total Sales]]</f>
        <v>0.36904761904761907</v>
      </c>
      <c r="S477" s="16" t="str">
        <f t="shared" si="7"/>
        <v>35-44</v>
      </c>
    </row>
    <row r="478" spans="1:19" x14ac:dyDescent="0.35">
      <c r="A478" s="2">
        <v>44537</v>
      </c>
      <c r="B478" s="2" t="str">
        <f>TEXT(Bike_Sales[[#This Row],[Date]],"mmmm")</f>
        <v>December</v>
      </c>
      <c r="C478" s="19">
        <f>MONTH(Bike_Sales[[#This Row],[Date]])</f>
        <v>12</v>
      </c>
      <c r="D478" s="2" t="str">
        <f>TEXT(Bike_Sales[[#This Row],[Date]],"dddd")</f>
        <v>Tuesday</v>
      </c>
      <c r="E478" s="3">
        <v>38</v>
      </c>
      <c r="F478" s="3" t="s">
        <v>126</v>
      </c>
      <c r="G478" s="3" t="s">
        <v>9</v>
      </c>
      <c r="H478" s="3" t="s">
        <v>10</v>
      </c>
      <c r="I478" s="3" t="s">
        <v>16</v>
      </c>
      <c r="J478" s="3" t="s">
        <v>103</v>
      </c>
      <c r="K478" s="3" t="s">
        <v>45</v>
      </c>
      <c r="L478" s="4">
        <v>2</v>
      </c>
      <c r="M478" s="3">
        <v>550</v>
      </c>
      <c r="N478" s="3">
        <v>850</v>
      </c>
      <c r="O478" s="15">
        <f>Bike_Sales[[#This Row],[Order_Quantity]]*Bike_Sales[[#This Row],[Unit_Price]]</f>
        <v>1700</v>
      </c>
      <c r="P478" s="15">
        <f>Bike_Sales[[#This Row],[Order_Quantity]]*Bike_Sales[[#This Row],[Unit_Cost]]</f>
        <v>1100</v>
      </c>
      <c r="Q478" s="15">
        <f>Bike_Sales[[#This Row],[Total Sales]]-Bike_Sales[[#This Row],[Total Cost]]</f>
        <v>600</v>
      </c>
      <c r="R478" s="17">
        <f>Bike_Sales[[#This Row],[Profit]]/Bike_Sales[[#This Row],[Total Sales]]</f>
        <v>0.35294117647058826</v>
      </c>
      <c r="S478" s="16" t="str">
        <f t="shared" si="7"/>
        <v>35-44</v>
      </c>
    </row>
    <row r="479" spans="1:19" x14ac:dyDescent="0.35">
      <c r="A479" s="2">
        <v>44540</v>
      </c>
      <c r="B479" s="2" t="str">
        <f>TEXT(Bike_Sales[[#This Row],[Date]],"mmmm")</f>
        <v>December</v>
      </c>
      <c r="C479" s="19">
        <f>MONTH(Bike_Sales[[#This Row],[Date]])</f>
        <v>12</v>
      </c>
      <c r="D479" s="2" t="str">
        <f>TEXT(Bike_Sales[[#This Row],[Date]],"dddd")</f>
        <v>Friday</v>
      </c>
      <c r="E479" s="3">
        <v>38</v>
      </c>
      <c r="F479" s="3" t="s">
        <v>126</v>
      </c>
      <c r="G479" s="3" t="s">
        <v>18</v>
      </c>
      <c r="H479" s="3" t="s">
        <v>24</v>
      </c>
      <c r="I479" s="3" t="s">
        <v>16</v>
      </c>
      <c r="J479" s="3" t="s">
        <v>101</v>
      </c>
      <c r="K479" s="3" t="s">
        <v>17</v>
      </c>
      <c r="L479" s="4">
        <v>1</v>
      </c>
      <c r="M479" s="3">
        <v>550</v>
      </c>
      <c r="N479" s="3">
        <v>850</v>
      </c>
      <c r="O479" s="15">
        <f>Bike_Sales[[#This Row],[Order_Quantity]]*Bike_Sales[[#This Row],[Unit_Price]]</f>
        <v>850</v>
      </c>
      <c r="P479" s="15">
        <f>Bike_Sales[[#This Row],[Order_Quantity]]*Bike_Sales[[#This Row],[Unit_Cost]]</f>
        <v>550</v>
      </c>
      <c r="Q479" s="15">
        <f>Bike_Sales[[#This Row],[Total Sales]]-Bike_Sales[[#This Row],[Total Cost]]</f>
        <v>300</v>
      </c>
      <c r="R479" s="17">
        <f>Bike_Sales[[#This Row],[Profit]]/Bike_Sales[[#This Row],[Total Sales]]</f>
        <v>0.35294117647058826</v>
      </c>
      <c r="S479" s="16" t="str">
        <f t="shared" si="7"/>
        <v>35-44</v>
      </c>
    </row>
    <row r="480" spans="1:19" x14ac:dyDescent="0.35">
      <c r="A480" s="2">
        <v>44541</v>
      </c>
      <c r="B480" s="2" t="str">
        <f>TEXT(Bike_Sales[[#This Row],[Date]],"mmmm")</f>
        <v>December</v>
      </c>
      <c r="C480" s="19">
        <f>MONTH(Bike_Sales[[#This Row],[Date]])</f>
        <v>12</v>
      </c>
      <c r="D480" s="2" t="str">
        <f>TEXT(Bike_Sales[[#This Row],[Date]],"dddd")</f>
        <v>Saturday</v>
      </c>
      <c r="E480" s="3">
        <v>38</v>
      </c>
      <c r="F480" s="3" t="s">
        <v>135</v>
      </c>
      <c r="G480" s="3" t="s">
        <v>9</v>
      </c>
      <c r="H480" s="3" t="s">
        <v>10</v>
      </c>
      <c r="I480" s="3" t="s">
        <v>16</v>
      </c>
      <c r="J480" s="3" t="s">
        <v>103</v>
      </c>
      <c r="K480" s="3" t="s">
        <v>22</v>
      </c>
      <c r="L480" s="4">
        <v>1</v>
      </c>
      <c r="M480" s="3">
        <v>550</v>
      </c>
      <c r="N480" s="3">
        <v>850</v>
      </c>
      <c r="O480" s="15">
        <f>Bike_Sales[[#This Row],[Order_Quantity]]*Bike_Sales[[#This Row],[Unit_Price]]</f>
        <v>850</v>
      </c>
      <c r="P480" s="15">
        <f>Bike_Sales[[#This Row],[Order_Quantity]]*Bike_Sales[[#This Row],[Unit_Cost]]</f>
        <v>550</v>
      </c>
      <c r="Q480" s="15">
        <f>Bike_Sales[[#This Row],[Total Sales]]-Bike_Sales[[#This Row],[Total Cost]]</f>
        <v>300</v>
      </c>
      <c r="R480" s="17">
        <f>Bike_Sales[[#This Row],[Profit]]/Bike_Sales[[#This Row],[Total Sales]]</f>
        <v>0.35294117647058826</v>
      </c>
      <c r="S480" s="16" t="str">
        <f t="shared" si="7"/>
        <v>35-44</v>
      </c>
    </row>
    <row r="481" spans="1:19" x14ac:dyDescent="0.35">
      <c r="A481" s="2">
        <v>44542</v>
      </c>
      <c r="B481" s="2" t="str">
        <f>TEXT(Bike_Sales[[#This Row],[Date]],"mmmm")</f>
        <v>December</v>
      </c>
      <c r="C481" s="19">
        <f>MONTH(Bike_Sales[[#This Row],[Date]])</f>
        <v>12</v>
      </c>
      <c r="D481" s="2" t="str">
        <f>TEXT(Bike_Sales[[#This Row],[Date]],"dddd")</f>
        <v>Sunday</v>
      </c>
      <c r="E481" s="3">
        <v>38</v>
      </c>
      <c r="F481" s="3" t="s">
        <v>135</v>
      </c>
      <c r="G481" s="3" t="s">
        <v>9</v>
      </c>
      <c r="H481" s="3" t="s">
        <v>37</v>
      </c>
      <c r="I481" s="3" t="s">
        <v>16</v>
      </c>
      <c r="J481" s="3" t="s">
        <v>103</v>
      </c>
      <c r="K481" s="3" t="s">
        <v>45</v>
      </c>
      <c r="L481" s="4">
        <v>1</v>
      </c>
      <c r="M481" s="3">
        <v>550</v>
      </c>
      <c r="N481" s="3">
        <v>850</v>
      </c>
      <c r="O481" s="15">
        <f>Bike_Sales[[#This Row],[Order_Quantity]]*Bike_Sales[[#This Row],[Unit_Price]]</f>
        <v>850</v>
      </c>
      <c r="P481" s="15">
        <f>Bike_Sales[[#This Row],[Order_Quantity]]*Bike_Sales[[#This Row],[Unit_Cost]]</f>
        <v>550</v>
      </c>
      <c r="Q481" s="15">
        <f>Bike_Sales[[#This Row],[Total Sales]]-Bike_Sales[[#This Row],[Total Cost]]</f>
        <v>300</v>
      </c>
      <c r="R481" s="17">
        <f>Bike_Sales[[#This Row],[Profit]]/Bike_Sales[[#This Row],[Total Sales]]</f>
        <v>0.35294117647058826</v>
      </c>
      <c r="S481" s="16" t="str">
        <f t="shared" si="7"/>
        <v>35-44</v>
      </c>
    </row>
    <row r="482" spans="1:19" x14ac:dyDescent="0.35">
      <c r="A482" s="2">
        <v>44546</v>
      </c>
      <c r="B482" s="2" t="str">
        <f>TEXT(Bike_Sales[[#This Row],[Date]],"mmmm")</f>
        <v>December</v>
      </c>
      <c r="C482" s="19">
        <f>MONTH(Bike_Sales[[#This Row],[Date]])</f>
        <v>12</v>
      </c>
      <c r="D482" s="2" t="str">
        <f>TEXT(Bike_Sales[[#This Row],[Date]],"dddd")</f>
        <v>Thursday</v>
      </c>
      <c r="E482" s="3">
        <v>38</v>
      </c>
      <c r="F482" s="3" t="s">
        <v>126</v>
      </c>
      <c r="G482" s="3" t="s">
        <v>18</v>
      </c>
      <c r="H482" s="3" t="s">
        <v>24</v>
      </c>
      <c r="I482" s="3" t="s">
        <v>16</v>
      </c>
      <c r="J482" s="3" t="s">
        <v>101</v>
      </c>
      <c r="K482" s="3" t="s">
        <v>17</v>
      </c>
      <c r="L482" s="4">
        <v>2</v>
      </c>
      <c r="M482" s="3">
        <v>550</v>
      </c>
      <c r="N482" s="3">
        <v>850</v>
      </c>
      <c r="O482" s="15">
        <f>Bike_Sales[[#This Row],[Order_Quantity]]*Bike_Sales[[#This Row],[Unit_Price]]</f>
        <v>1700</v>
      </c>
      <c r="P482" s="15">
        <f>Bike_Sales[[#This Row],[Order_Quantity]]*Bike_Sales[[#This Row],[Unit_Cost]]</f>
        <v>1100</v>
      </c>
      <c r="Q482" s="15">
        <f>Bike_Sales[[#This Row],[Total Sales]]-Bike_Sales[[#This Row],[Total Cost]]</f>
        <v>600</v>
      </c>
      <c r="R482" s="17">
        <f>Bike_Sales[[#This Row],[Profit]]/Bike_Sales[[#This Row],[Total Sales]]</f>
        <v>0.35294117647058826</v>
      </c>
      <c r="S482" s="16" t="str">
        <f t="shared" si="7"/>
        <v>35-44</v>
      </c>
    </row>
    <row r="483" spans="1:19" x14ac:dyDescent="0.35">
      <c r="A483" s="2">
        <v>44548</v>
      </c>
      <c r="B483" s="2" t="str">
        <f>TEXT(Bike_Sales[[#This Row],[Date]],"mmmm")</f>
        <v>December</v>
      </c>
      <c r="C483" s="19">
        <f>MONTH(Bike_Sales[[#This Row],[Date]])</f>
        <v>12</v>
      </c>
      <c r="D483" s="2" t="str">
        <f>TEXT(Bike_Sales[[#This Row],[Date]],"dddd")</f>
        <v>Saturday</v>
      </c>
      <c r="E483" s="3">
        <v>38</v>
      </c>
      <c r="F483" s="3" t="s">
        <v>135</v>
      </c>
      <c r="G483" s="3" t="s">
        <v>33</v>
      </c>
      <c r="H483" s="3" t="s">
        <v>136</v>
      </c>
      <c r="I483" s="3" t="s">
        <v>16</v>
      </c>
      <c r="J483" s="3" t="s">
        <v>103</v>
      </c>
      <c r="K483" s="3" t="s">
        <v>50</v>
      </c>
      <c r="L483" s="4">
        <v>4</v>
      </c>
      <c r="M483" s="3">
        <v>550</v>
      </c>
      <c r="N483" s="3">
        <v>850</v>
      </c>
      <c r="O483" s="15">
        <f>Bike_Sales[[#This Row],[Order_Quantity]]*Bike_Sales[[#This Row],[Unit_Price]]</f>
        <v>3400</v>
      </c>
      <c r="P483" s="15">
        <f>Bike_Sales[[#This Row],[Order_Quantity]]*Bike_Sales[[#This Row],[Unit_Cost]]</f>
        <v>2200</v>
      </c>
      <c r="Q483" s="15">
        <f>Bike_Sales[[#This Row],[Total Sales]]-Bike_Sales[[#This Row],[Total Cost]]</f>
        <v>1200</v>
      </c>
      <c r="R483" s="17">
        <f>Bike_Sales[[#This Row],[Profit]]/Bike_Sales[[#This Row],[Total Sales]]</f>
        <v>0.35294117647058826</v>
      </c>
      <c r="S483" s="16" t="str">
        <f t="shared" si="7"/>
        <v>35-44</v>
      </c>
    </row>
    <row r="484" spans="1:19" x14ac:dyDescent="0.35">
      <c r="A484" s="2">
        <v>44549</v>
      </c>
      <c r="B484" s="2" t="str">
        <f>TEXT(Bike_Sales[[#This Row],[Date]],"mmmm")</f>
        <v>December</v>
      </c>
      <c r="C484" s="19">
        <f>MONTH(Bike_Sales[[#This Row],[Date]])</f>
        <v>12</v>
      </c>
      <c r="D484" s="2" t="str">
        <f>TEXT(Bike_Sales[[#This Row],[Date]],"dddd")</f>
        <v>Sunday</v>
      </c>
      <c r="E484" s="3">
        <v>38</v>
      </c>
      <c r="F484" s="3" t="s">
        <v>126</v>
      </c>
      <c r="G484" s="3" t="s">
        <v>18</v>
      </c>
      <c r="H484" s="3" t="s">
        <v>24</v>
      </c>
      <c r="I484" s="3" t="s">
        <v>11</v>
      </c>
      <c r="J484" s="3" t="s">
        <v>104</v>
      </c>
      <c r="K484" s="3" t="s">
        <v>68</v>
      </c>
      <c r="L484" s="4">
        <v>1</v>
      </c>
      <c r="M484" s="3">
        <v>500</v>
      </c>
      <c r="N484" s="3">
        <v>800</v>
      </c>
      <c r="O484" s="15">
        <f>Bike_Sales[[#This Row],[Order_Quantity]]*Bike_Sales[[#This Row],[Unit_Price]]</f>
        <v>800</v>
      </c>
      <c r="P484" s="15">
        <f>Bike_Sales[[#This Row],[Order_Quantity]]*Bike_Sales[[#This Row],[Unit_Cost]]</f>
        <v>500</v>
      </c>
      <c r="Q484" s="15">
        <f>Bike_Sales[[#This Row],[Total Sales]]-Bike_Sales[[#This Row],[Total Cost]]</f>
        <v>300</v>
      </c>
      <c r="R484" s="17">
        <f>Bike_Sales[[#This Row],[Profit]]/Bike_Sales[[#This Row],[Total Sales]]</f>
        <v>0.375</v>
      </c>
      <c r="S484" s="16" t="str">
        <f t="shared" si="7"/>
        <v>35-44</v>
      </c>
    </row>
    <row r="485" spans="1:19" x14ac:dyDescent="0.35">
      <c r="A485" s="2">
        <v>44554</v>
      </c>
      <c r="B485" s="2" t="str">
        <f>TEXT(Bike_Sales[[#This Row],[Date]],"mmmm")</f>
        <v>December</v>
      </c>
      <c r="C485" s="19">
        <f>MONTH(Bike_Sales[[#This Row],[Date]])</f>
        <v>12</v>
      </c>
      <c r="D485" s="2" t="str">
        <f>TEXT(Bike_Sales[[#This Row],[Date]],"dddd")</f>
        <v>Friday</v>
      </c>
      <c r="E485" s="3">
        <v>38</v>
      </c>
      <c r="F485" s="3" t="s">
        <v>126</v>
      </c>
      <c r="G485" s="3" t="s">
        <v>18</v>
      </c>
      <c r="H485" s="3" t="s">
        <v>19</v>
      </c>
      <c r="I485" s="3" t="s">
        <v>16</v>
      </c>
      <c r="J485" s="3" t="s">
        <v>101</v>
      </c>
      <c r="K485" s="3" t="s">
        <v>25</v>
      </c>
      <c r="L485" s="4">
        <v>4</v>
      </c>
      <c r="M485" s="3">
        <v>550</v>
      </c>
      <c r="N485" s="3">
        <v>850</v>
      </c>
      <c r="O485" s="15">
        <f>Bike_Sales[[#This Row],[Order_Quantity]]*Bike_Sales[[#This Row],[Unit_Price]]</f>
        <v>3400</v>
      </c>
      <c r="P485" s="15">
        <f>Bike_Sales[[#This Row],[Order_Quantity]]*Bike_Sales[[#This Row],[Unit_Cost]]</f>
        <v>2200</v>
      </c>
      <c r="Q485" s="15">
        <f>Bike_Sales[[#This Row],[Total Sales]]-Bike_Sales[[#This Row],[Total Cost]]</f>
        <v>1200</v>
      </c>
      <c r="R485" s="17">
        <f>Bike_Sales[[#This Row],[Profit]]/Bike_Sales[[#This Row],[Total Sales]]</f>
        <v>0.35294117647058826</v>
      </c>
      <c r="S485" s="16" t="str">
        <f t="shared" si="7"/>
        <v>35-44</v>
      </c>
    </row>
    <row r="486" spans="1:19" x14ac:dyDescent="0.35">
      <c r="A486" s="2">
        <v>44555</v>
      </c>
      <c r="B486" s="2" t="str">
        <f>TEXT(Bike_Sales[[#This Row],[Date]],"mmmm")</f>
        <v>December</v>
      </c>
      <c r="C486" s="19">
        <f>MONTH(Bike_Sales[[#This Row],[Date]])</f>
        <v>12</v>
      </c>
      <c r="D486" s="2" t="str">
        <f>TEXT(Bike_Sales[[#This Row],[Date]],"dddd")</f>
        <v>Saturday</v>
      </c>
      <c r="E486" s="3">
        <v>38</v>
      </c>
      <c r="F486" s="3" t="s">
        <v>135</v>
      </c>
      <c r="G486" s="3" t="s">
        <v>18</v>
      </c>
      <c r="H486" s="3" t="s">
        <v>35</v>
      </c>
      <c r="I486" s="3" t="s">
        <v>16</v>
      </c>
      <c r="J486" s="3" t="s">
        <v>103</v>
      </c>
      <c r="K486" s="3" t="s">
        <v>22</v>
      </c>
      <c r="L486" s="4">
        <v>2</v>
      </c>
      <c r="M486" s="3">
        <v>550</v>
      </c>
      <c r="N486" s="3">
        <v>850</v>
      </c>
      <c r="O486" s="15">
        <f>Bike_Sales[[#This Row],[Order_Quantity]]*Bike_Sales[[#This Row],[Unit_Price]]</f>
        <v>1700</v>
      </c>
      <c r="P486" s="15">
        <f>Bike_Sales[[#This Row],[Order_Quantity]]*Bike_Sales[[#This Row],[Unit_Cost]]</f>
        <v>1100</v>
      </c>
      <c r="Q486" s="15">
        <f>Bike_Sales[[#This Row],[Total Sales]]-Bike_Sales[[#This Row],[Total Cost]]</f>
        <v>600</v>
      </c>
      <c r="R486" s="17">
        <f>Bike_Sales[[#This Row],[Profit]]/Bike_Sales[[#This Row],[Total Sales]]</f>
        <v>0.35294117647058826</v>
      </c>
      <c r="S486" s="16" t="str">
        <f t="shared" si="7"/>
        <v>35-44</v>
      </c>
    </row>
    <row r="487" spans="1:19" x14ac:dyDescent="0.35">
      <c r="A487" s="2">
        <v>44556</v>
      </c>
      <c r="B487" s="2" t="str">
        <f>TEXT(Bike_Sales[[#This Row],[Date]],"mmmm")</f>
        <v>December</v>
      </c>
      <c r="C487" s="19">
        <f>MONTH(Bike_Sales[[#This Row],[Date]])</f>
        <v>12</v>
      </c>
      <c r="D487" s="2" t="str">
        <f>TEXT(Bike_Sales[[#This Row],[Date]],"dddd")</f>
        <v>Sunday</v>
      </c>
      <c r="E487" s="3">
        <v>38</v>
      </c>
      <c r="F487" s="3" t="s">
        <v>135</v>
      </c>
      <c r="G487" s="3" t="s">
        <v>18</v>
      </c>
      <c r="H487" s="3" t="s">
        <v>19</v>
      </c>
      <c r="I487" s="3" t="s">
        <v>16</v>
      </c>
      <c r="J487" s="3" t="s">
        <v>101</v>
      </c>
      <c r="K487" s="3" t="s">
        <v>17</v>
      </c>
      <c r="L487" s="4">
        <v>3</v>
      </c>
      <c r="M487" s="3">
        <v>550</v>
      </c>
      <c r="N487" s="3">
        <v>850</v>
      </c>
      <c r="O487" s="15">
        <f>Bike_Sales[[#This Row],[Order_Quantity]]*Bike_Sales[[#This Row],[Unit_Price]]</f>
        <v>2550</v>
      </c>
      <c r="P487" s="15">
        <f>Bike_Sales[[#This Row],[Order_Quantity]]*Bike_Sales[[#This Row],[Unit_Cost]]</f>
        <v>1650</v>
      </c>
      <c r="Q487" s="15">
        <f>Bike_Sales[[#This Row],[Total Sales]]-Bike_Sales[[#This Row],[Total Cost]]</f>
        <v>900</v>
      </c>
      <c r="R487" s="17">
        <f>Bike_Sales[[#This Row],[Profit]]/Bike_Sales[[#This Row],[Total Sales]]</f>
        <v>0.35294117647058826</v>
      </c>
      <c r="S487" s="16" t="str">
        <f t="shared" si="7"/>
        <v>35-44</v>
      </c>
    </row>
    <row r="488" spans="1:19" x14ac:dyDescent="0.35">
      <c r="A488" s="2">
        <v>44557</v>
      </c>
      <c r="B488" s="2" t="str">
        <f>TEXT(Bike_Sales[[#This Row],[Date]],"mmmm")</f>
        <v>December</v>
      </c>
      <c r="C488" s="19">
        <f>MONTH(Bike_Sales[[#This Row],[Date]])</f>
        <v>12</v>
      </c>
      <c r="D488" s="2" t="str">
        <f>TEXT(Bike_Sales[[#This Row],[Date]],"dddd")</f>
        <v>Monday</v>
      </c>
      <c r="E488" s="3">
        <v>38</v>
      </c>
      <c r="F488" s="3" t="s">
        <v>126</v>
      </c>
      <c r="G488" s="3" t="s">
        <v>18</v>
      </c>
      <c r="H488" s="3" t="s">
        <v>35</v>
      </c>
      <c r="I488" s="3" t="s">
        <v>16</v>
      </c>
      <c r="J488" s="3" t="s">
        <v>103</v>
      </c>
      <c r="K488" s="3" t="s">
        <v>45</v>
      </c>
      <c r="L488" s="4">
        <v>1</v>
      </c>
      <c r="M488" s="3">
        <v>550</v>
      </c>
      <c r="N488" s="3">
        <v>850</v>
      </c>
      <c r="O488" s="15">
        <f>Bike_Sales[[#This Row],[Order_Quantity]]*Bike_Sales[[#This Row],[Unit_Price]]</f>
        <v>850</v>
      </c>
      <c r="P488" s="15">
        <f>Bike_Sales[[#This Row],[Order_Quantity]]*Bike_Sales[[#This Row],[Unit_Cost]]</f>
        <v>550</v>
      </c>
      <c r="Q488" s="15">
        <f>Bike_Sales[[#This Row],[Total Sales]]-Bike_Sales[[#This Row],[Total Cost]]</f>
        <v>300</v>
      </c>
      <c r="R488" s="17">
        <f>Bike_Sales[[#This Row],[Profit]]/Bike_Sales[[#This Row],[Total Sales]]</f>
        <v>0.35294117647058826</v>
      </c>
      <c r="S488" s="16" t="str">
        <f t="shared" si="7"/>
        <v>35-44</v>
      </c>
    </row>
    <row r="489" spans="1:19" x14ac:dyDescent="0.35">
      <c r="A489" s="2">
        <v>44481</v>
      </c>
      <c r="B489" s="2" t="str">
        <f>TEXT(Bike_Sales[[#This Row],[Date]],"mmmm")</f>
        <v>October</v>
      </c>
      <c r="C489" s="19">
        <f>MONTH(Bike_Sales[[#This Row],[Date]])</f>
        <v>10</v>
      </c>
      <c r="D489" s="2" t="str">
        <f>TEXT(Bike_Sales[[#This Row],[Date]],"dddd")</f>
        <v>Tuesday</v>
      </c>
      <c r="E489" s="3">
        <v>39</v>
      </c>
      <c r="F489" s="3" t="s">
        <v>135</v>
      </c>
      <c r="G489" s="3" t="s">
        <v>18</v>
      </c>
      <c r="H489" s="3" t="s">
        <v>19</v>
      </c>
      <c r="I489" s="3" t="s">
        <v>11</v>
      </c>
      <c r="J489" s="3" t="s">
        <v>104</v>
      </c>
      <c r="K489" s="3" t="s">
        <v>52</v>
      </c>
      <c r="L489" s="4">
        <v>1</v>
      </c>
      <c r="M489" s="3">
        <v>530</v>
      </c>
      <c r="N489" s="3">
        <v>840</v>
      </c>
      <c r="O489" s="15">
        <f>Bike_Sales[[#This Row],[Order_Quantity]]*Bike_Sales[[#This Row],[Unit_Price]]</f>
        <v>840</v>
      </c>
      <c r="P489" s="15">
        <f>Bike_Sales[[#This Row],[Order_Quantity]]*Bike_Sales[[#This Row],[Unit_Cost]]</f>
        <v>530</v>
      </c>
      <c r="Q489" s="15">
        <f>Bike_Sales[[#This Row],[Total Sales]]-Bike_Sales[[#This Row],[Total Cost]]</f>
        <v>310</v>
      </c>
      <c r="R489" s="17">
        <f>Bike_Sales[[#This Row],[Profit]]/Bike_Sales[[#This Row],[Total Sales]]</f>
        <v>0.36904761904761907</v>
      </c>
      <c r="S489" s="16" t="str">
        <f t="shared" si="7"/>
        <v>35-44</v>
      </c>
    </row>
    <row r="490" spans="1:19" x14ac:dyDescent="0.35">
      <c r="A490" s="2">
        <v>44489</v>
      </c>
      <c r="B490" s="2" t="str">
        <f>TEXT(Bike_Sales[[#This Row],[Date]],"mmmm")</f>
        <v>October</v>
      </c>
      <c r="C490" s="19">
        <f>MONTH(Bike_Sales[[#This Row],[Date]])</f>
        <v>10</v>
      </c>
      <c r="D490" s="2" t="str">
        <f>TEXT(Bike_Sales[[#This Row],[Date]],"dddd")</f>
        <v>Wednesday</v>
      </c>
      <c r="E490" s="3">
        <v>39</v>
      </c>
      <c r="F490" s="3" t="s">
        <v>126</v>
      </c>
      <c r="G490" s="3" t="s">
        <v>129</v>
      </c>
      <c r="H490" s="3" t="s">
        <v>15</v>
      </c>
      <c r="I490" s="3" t="s">
        <v>11</v>
      </c>
      <c r="J490" s="3" t="s">
        <v>102</v>
      </c>
      <c r="K490" s="3" t="s">
        <v>66</v>
      </c>
      <c r="L490" s="4">
        <v>2</v>
      </c>
      <c r="M490" s="3">
        <v>900</v>
      </c>
      <c r="N490" s="3">
        <v>1400</v>
      </c>
      <c r="O490" s="15">
        <f>Bike_Sales[[#This Row],[Order_Quantity]]*Bike_Sales[[#This Row],[Unit_Price]]</f>
        <v>2800</v>
      </c>
      <c r="P490" s="15">
        <f>Bike_Sales[[#This Row],[Order_Quantity]]*Bike_Sales[[#This Row],[Unit_Cost]]</f>
        <v>1800</v>
      </c>
      <c r="Q490" s="15">
        <f>Bike_Sales[[#This Row],[Total Sales]]-Bike_Sales[[#This Row],[Total Cost]]</f>
        <v>1000</v>
      </c>
      <c r="R490" s="17">
        <f>Bike_Sales[[#This Row],[Profit]]/Bike_Sales[[#This Row],[Total Sales]]</f>
        <v>0.35714285714285715</v>
      </c>
      <c r="S490" s="16" t="str">
        <f t="shared" si="7"/>
        <v>35-44</v>
      </c>
    </row>
    <row r="491" spans="1:19" x14ac:dyDescent="0.35">
      <c r="A491" s="2">
        <v>44493</v>
      </c>
      <c r="B491" s="2" t="str">
        <f>TEXT(Bike_Sales[[#This Row],[Date]],"mmmm")</f>
        <v>October</v>
      </c>
      <c r="C491" s="19">
        <f>MONTH(Bike_Sales[[#This Row],[Date]])</f>
        <v>10</v>
      </c>
      <c r="D491" s="2" t="str">
        <f>TEXT(Bike_Sales[[#This Row],[Date]],"dddd")</f>
        <v>Sunday</v>
      </c>
      <c r="E491" s="3">
        <v>39</v>
      </c>
      <c r="F491" s="3" t="s">
        <v>135</v>
      </c>
      <c r="G491" s="3" t="s">
        <v>18</v>
      </c>
      <c r="H491" s="3" t="s">
        <v>35</v>
      </c>
      <c r="I491" s="3" t="s">
        <v>11</v>
      </c>
      <c r="J491" s="3" t="s">
        <v>102</v>
      </c>
      <c r="K491" s="3" t="s">
        <v>26</v>
      </c>
      <c r="L491" s="4">
        <v>1</v>
      </c>
      <c r="M491" s="3">
        <v>900</v>
      </c>
      <c r="N491" s="3">
        <v>1400</v>
      </c>
      <c r="O491" s="15">
        <f>Bike_Sales[[#This Row],[Order_Quantity]]*Bike_Sales[[#This Row],[Unit_Price]]</f>
        <v>1400</v>
      </c>
      <c r="P491" s="15">
        <f>Bike_Sales[[#This Row],[Order_Quantity]]*Bike_Sales[[#This Row],[Unit_Cost]]</f>
        <v>900</v>
      </c>
      <c r="Q491" s="15">
        <f>Bike_Sales[[#This Row],[Total Sales]]-Bike_Sales[[#This Row],[Total Cost]]</f>
        <v>500</v>
      </c>
      <c r="R491" s="17">
        <f>Bike_Sales[[#This Row],[Profit]]/Bike_Sales[[#This Row],[Total Sales]]</f>
        <v>0.35714285714285715</v>
      </c>
      <c r="S491" s="16" t="str">
        <f t="shared" si="7"/>
        <v>35-44</v>
      </c>
    </row>
    <row r="492" spans="1:19" x14ac:dyDescent="0.35">
      <c r="A492" s="2">
        <v>44500</v>
      </c>
      <c r="B492" s="2" t="str">
        <f>TEXT(Bike_Sales[[#This Row],[Date]],"mmmm")</f>
        <v>October</v>
      </c>
      <c r="C492" s="19">
        <f>MONTH(Bike_Sales[[#This Row],[Date]])</f>
        <v>10</v>
      </c>
      <c r="D492" s="2" t="str">
        <f>TEXT(Bike_Sales[[#This Row],[Date]],"dddd")</f>
        <v>Sunday</v>
      </c>
      <c r="E492" s="3">
        <v>39</v>
      </c>
      <c r="F492" s="3" t="s">
        <v>135</v>
      </c>
      <c r="G492" s="3" t="s">
        <v>129</v>
      </c>
      <c r="H492" s="3" t="s">
        <v>15</v>
      </c>
      <c r="I492" s="3" t="s">
        <v>11</v>
      </c>
      <c r="J492" s="3" t="s">
        <v>101</v>
      </c>
      <c r="K492" s="3" t="s">
        <v>32</v>
      </c>
      <c r="L492" s="4">
        <v>1</v>
      </c>
      <c r="M492" s="3">
        <v>700</v>
      </c>
      <c r="N492" s="3">
        <v>1100</v>
      </c>
      <c r="O492" s="15">
        <f>Bike_Sales[[#This Row],[Order_Quantity]]*Bike_Sales[[#This Row],[Unit_Price]]</f>
        <v>1100</v>
      </c>
      <c r="P492" s="15">
        <f>Bike_Sales[[#This Row],[Order_Quantity]]*Bike_Sales[[#This Row],[Unit_Cost]]</f>
        <v>700</v>
      </c>
      <c r="Q492" s="15">
        <f>Bike_Sales[[#This Row],[Total Sales]]-Bike_Sales[[#This Row],[Total Cost]]</f>
        <v>400</v>
      </c>
      <c r="R492" s="17">
        <f>Bike_Sales[[#This Row],[Profit]]/Bike_Sales[[#This Row],[Total Sales]]</f>
        <v>0.36363636363636365</v>
      </c>
      <c r="S492" s="16" t="str">
        <f t="shared" si="7"/>
        <v>35-44</v>
      </c>
    </row>
    <row r="493" spans="1:19" x14ac:dyDescent="0.35">
      <c r="A493" s="2">
        <v>44508</v>
      </c>
      <c r="B493" s="2" t="str">
        <f>TEXT(Bike_Sales[[#This Row],[Date]],"mmmm")</f>
        <v>November</v>
      </c>
      <c r="C493" s="19">
        <f>MONTH(Bike_Sales[[#This Row],[Date]])</f>
        <v>11</v>
      </c>
      <c r="D493" s="2" t="str">
        <f>TEXT(Bike_Sales[[#This Row],[Date]],"dddd")</f>
        <v>Monday</v>
      </c>
      <c r="E493" s="3">
        <v>39</v>
      </c>
      <c r="F493" s="3" t="s">
        <v>126</v>
      </c>
      <c r="G493" s="3" t="s">
        <v>18</v>
      </c>
      <c r="H493" s="3" t="s">
        <v>35</v>
      </c>
      <c r="I493" s="3" t="s">
        <v>16</v>
      </c>
      <c r="J493" s="3" t="s">
        <v>103</v>
      </c>
      <c r="K493" s="3" t="s">
        <v>81</v>
      </c>
      <c r="L493" s="4">
        <v>1</v>
      </c>
      <c r="M493" s="3">
        <v>450</v>
      </c>
      <c r="N493" s="3">
        <v>720</v>
      </c>
      <c r="O493" s="15">
        <f>Bike_Sales[[#This Row],[Order_Quantity]]*Bike_Sales[[#This Row],[Unit_Price]]</f>
        <v>720</v>
      </c>
      <c r="P493" s="15">
        <f>Bike_Sales[[#This Row],[Order_Quantity]]*Bike_Sales[[#This Row],[Unit_Cost]]</f>
        <v>450</v>
      </c>
      <c r="Q493" s="15">
        <f>Bike_Sales[[#This Row],[Total Sales]]-Bike_Sales[[#This Row],[Total Cost]]</f>
        <v>270</v>
      </c>
      <c r="R493" s="17">
        <f>Bike_Sales[[#This Row],[Profit]]/Bike_Sales[[#This Row],[Total Sales]]</f>
        <v>0.375</v>
      </c>
      <c r="S493" s="16" t="str">
        <f t="shared" si="7"/>
        <v>35-44</v>
      </c>
    </row>
    <row r="494" spans="1:19" x14ac:dyDescent="0.35">
      <c r="A494" s="2">
        <v>44510</v>
      </c>
      <c r="B494" s="2" t="str">
        <f>TEXT(Bike_Sales[[#This Row],[Date]],"mmmm")</f>
        <v>November</v>
      </c>
      <c r="C494" s="19">
        <f>MONTH(Bike_Sales[[#This Row],[Date]])</f>
        <v>11</v>
      </c>
      <c r="D494" s="2" t="str">
        <f>TEXT(Bike_Sales[[#This Row],[Date]],"dddd")</f>
        <v>Wednesday</v>
      </c>
      <c r="E494" s="3">
        <v>39</v>
      </c>
      <c r="F494" s="3" t="s">
        <v>135</v>
      </c>
      <c r="G494" s="3" t="s">
        <v>129</v>
      </c>
      <c r="H494" s="3" t="s">
        <v>15</v>
      </c>
      <c r="I494" s="3" t="s">
        <v>11</v>
      </c>
      <c r="J494" s="3" t="s">
        <v>101</v>
      </c>
      <c r="K494" s="3" t="s">
        <v>32</v>
      </c>
      <c r="L494" s="4">
        <v>3</v>
      </c>
      <c r="M494" s="3">
        <v>700</v>
      </c>
      <c r="N494" s="3">
        <v>1100</v>
      </c>
      <c r="O494" s="15">
        <f>Bike_Sales[[#This Row],[Order_Quantity]]*Bike_Sales[[#This Row],[Unit_Price]]</f>
        <v>3300</v>
      </c>
      <c r="P494" s="15">
        <f>Bike_Sales[[#This Row],[Order_Quantity]]*Bike_Sales[[#This Row],[Unit_Cost]]</f>
        <v>2100</v>
      </c>
      <c r="Q494" s="15">
        <f>Bike_Sales[[#This Row],[Total Sales]]-Bike_Sales[[#This Row],[Total Cost]]</f>
        <v>1200</v>
      </c>
      <c r="R494" s="17">
        <f>Bike_Sales[[#This Row],[Profit]]/Bike_Sales[[#This Row],[Total Sales]]</f>
        <v>0.36363636363636365</v>
      </c>
      <c r="S494" s="16" t="str">
        <f t="shared" si="7"/>
        <v>35-44</v>
      </c>
    </row>
    <row r="495" spans="1:19" x14ac:dyDescent="0.35">
      <c r="A495" s="2">
        <v>44511</v>
      </c>
      <c r="B495" s="2" t="str">
        <f>TEXT(Bike_Sales[[#This Row],[Date]],"mmmm")</f>
        <v>November</v>
      </c>
      <c r="C495" s="19">
        <f>MONTH(Bike_Sales[[#This Row],[Date]])</f>
        <v>11</v>
      </c>
      <c r="D495" s="2" t="str">
        <f>TEXT(Bike_Sales[[#This Row],[Date]],"dddd")</f>
        <v>Thursday</v>
      </c>
      <c r="E495" s="3">
        <v>39</v>
      </c>
      <c r="F495" s="3" t="s">
        <v>126</v>
      </c>
      <c r="G495" s="3" t="s">
        <v>39</v>
      </c>
      <c r="H495" s="3" t="s">
        <v>80</v>
      </c>
      <c r="I495" s="3" t="s">
        <v>11</v>
      </c>
      <c r="J495" s="3" t="s">
        <v>104</v>
      </c>
      <c r="K495" s="3" t="s">
        <v>12</v>
      </c>
      <c r="L495" s="4">
        <v>3</v>
      </c>
      <c r="M495" s="3">
        <v>500</v>
      </c>
      <c r="N495" s="3">
        <v>800</v>
      </c>
      <c r="O495" s="15">
        <f>Bike_Sales[[#This Row],[Order_Quantity]]*Bike_Sales[[#This Row],[Unit_Price]]</f>
        <v>2400</v>
      </c>
      <c r="P495" s="15">
        <f>Bike_Sales[[#This Row],[Order_Quantity]]*Bike_Sales[[#This Row],[Unit_Cost]]</f>
        <v>1500</v>
      </c>
      <c r="Q495" s="15">
        <f>Bike_Sales[[#This Row],[Total Sales]]-Bike_Sales[[#This Row],[Total Cost]]</f>
        <v>900</v>
      </c>
      <c r="R495" s="17">
        <f>Bike_Sales[[#This Row],[Profit]]/Bike_Sales[[#This Row],[Total Sales]]</f>
        <v>0.375</v>
      </c>
      <c r="S495" s="16" t="str">
        <f t="shared" si="7"/>
        <v>35-44</v>
      </c>
    </row>
    <row r="496" spans="1:19" x14ac:dyDescent="0.35">
      <c r="A496" s="2">
        <v>44511</v>
      </c>
      <c r="B496" s="2" t="str">
        <f>TEXT(Bike_Sales[[#This Row],[Date]],"mmmm")</f>
        <v>November</v>
      </c>
      <c r="C496" s="19">
        <f>MONTH(Bike_Sales[[#This Row],[Date]])</f>
        <v>11</v>
      </c>
      <c r="D496" s="2" t="str">
        <f>TEXT(Bike_Sales[[#This Row],[Date]],"dddd")</f>
        <v>Thursday</v>
      </c>
      <c r="E496" s="3">
        <v>39</v>
      </c>
      <c r="F496" s="3" t="s">
        <v>126</v>
      </c>
      <c r="G496" s="3" t="s">
        <v>129</v>
      </c>
      <c r="H496" s="3" t="s">
        <v>15</v>
      </c>
      <c r="I496" s="3" t="s">
        <v>11</v>
      </c>
      <c r="J496" s="3" t="s">
        <v>102</v>
      </c>
      <c r="K496" s="3" t="s">
        <v>66</v>
      </c>
      <c r="L496" s="4">
        <v>1</v>
      </c>
      <c r="M496" s="3">
        <v>900</v>
      </c>
      <c r="N496" s="3">
        <v>1400</v>
      </c>
      <c r="O496" s="15">
        <f>Bike_Sales[[#This Row],[Order_Quantity]]*Bike_Sales[[#This Row],[Unit_Price]]</f>
        <v>1400</v>
      </c>
      <c r="P496" s="15">
        <f>Bike_Sales[[#This Row],[Order_Quantity]]*Bike_Sales[[#This Row],[Unit_Cost]]</f>
        <v>900</v>
      </c>
      <c r="Q496" s="15">
        <f>Bike_Sales[[#This Row],[Total Sales]]-Bike_Sales[[#This Row],[Total Cost]]</f>
        <v>500</v>
      </c>
      <c r="R496" s="17">
        <f>Bike_Sales[[#This Row],[Profit]]/Bike_Sales[[#This Row],[Total Sales]]</f>
        <v>0.35714285714285715</v>
      </c>
      <c r="S496" s="16" t="str">
        <f t="shared" si="7"/>
        <v>35-44</v>
      </c>
    </row>
    <row r="497" spans="1:19" x14ac:dyDescent="0.35">
      <c r="A497" s="2">
        <v>44512</v>
      </c>
      <c r="B497" s="2" t="str">
        <f>TEXT(Bike_Sales[[#This Row],[Date]],"mmmm")</f>
        <v>November</v>
      </c>
      <c r="C497" s="19">
        <f>MONTH(Bike_Sales[[#This Row],[Date]])</f>
        <v>11</v>
      </c>
      <c r="D497" s="2" t="str">
        <f>TEXT(Bike_Sales[[#This Row],[Date]],"dddd")</f>
        <v>Friday</v>
      </c>
      <c r="E497" s="3">
        <v>39</v>
      </c>
      <c r="F497" s="3" t="s">
        <v>135</v>
      </c>
      <c r="G497" s="3" t="s">
        <v>129</v>
      </c>
      <c r="H497" s="3" t="s">
        <v>15</v>
      </c>
      <c r="I497" s="3" t="s">
        <v>11</v>
      </c>
      <c r="J497" s="3" t="s">
        <v>101</v>
      </c>
      <c r="K497" s="3" t="s">
        <v>32</v>
      </c>
      <c r="L497" s="4">
        <v>1</v>
      </c>
      <c r="M497" s="3">
        <v>700</v>
      </c>
      <c r="N497" s="3">
        <v>1100</v>
      </c>
      <c r="O497" s="15">
        <f>Bike_Sales[[#This Row],[Order_Quantity]]*Bike_Sales[[#This Row],[Unit_Price]]</f>
        <v>1100</v>
      </c>
      <c r="P497" s="15">
        <f>Bike_Sales[[#This Row],[Order_Quantity]]*Bike_Sales[[#This Row],[Unit_Cost]]</f>
        <v>700</v>
      </c>
      <c r="Q497" s="15">
        <f>Bike_Sales[[#This Row],[Total Sales]]-Bike_Sales[[#This Row],[Total Cost]]</f>
        <v>400</v>
      </c>
      <c r="R497" s="17">
        <f>Bike_Sales[[#This Row],[Profit]]/Bike_Sales[[#This Row],[Total Sales]]</f>
        <v>0.36363636363636365</v>
      </c>
      <c r="S497" s="16" t="str">
        <f t="shared" si="7"/>
        <v>35-44</v>
      </c>
    </row>
    <row r="498" spans="1:19" x14ac:dyDescent="0.35">
      <c r="A498" s="2">
        <v>44520</v>
      </c>
      <c r="B498" s="2" t="str">
        <f>TEXT(Bike_Sales[[#This Row],[Date]],"mmmm")</f>
        <v>November</v>
      </c>
      <c r="C498" s="19">
        <f>MONTH(Bike_Sales[[#This Row],[Date]])</f>
        <v>11</v>
      </c>
      <c r="D498" s="2" t="str">
        <f>TEXT(Bike_Sales[[#This Row],[Date]],"dddd")</f>
        <v>Saturday</v>
      </c>
      <c r="E498" s="3">
        <v>39</v>
      </c>
      <c r="F498" s="3" t="s">
        <v>135</v>
      </c>
      <c r="G498" s="3" t="s">
        <v>33</v>
      </c>
      <c r="H498" s="3" t="s">
        <v>56</v>
      </c>
      <c r="I498" s="3" t="s">
        <v>16</v>
      </c>
      <c r="J498" s="3" t="s">
        <v>103</v>
      </c>
      <c r="K498" s="3" t="s">
        <v>22</v>
      </c>
      <c r="L498" s="4">
        <v>1</v>
      </c>
      <c r="M498" s="3">
        <v>550</v>
      </c>
      <c r="N498" s="3">
        <v>850</v>
      </c>
      <c r="O498" s="15">
        <f>Bike_Sales[[#This Row],[Order_Quantity]]*Bike_Sales[[#This Row],[Unit_Price]]</f>
        <v>850</v>
      </c>
      <c r="P498" s="15">
        <f>Bike_Sales[[#This Row],[Order_Quantity]]*Bike_Sales[[#This Row],[Unit_Cost]]</f>
        <v>550</v>
      </c>
      <c r="Q498" s="15">
        <f>Bike_Sales[[#This Row],[Total Sales]]-Bike_Sales[[#This Row],[Total Cost]]</f>
        <v>300</v>
      </c>
      <c r="R498" s="17">
        <f>Bike_Sales[[#This Row],[Profit]]/Bike_Sales[[#This Row],[Total Sales]]</f>
        <v>0.35294117647058826</v>
      </c>
      <c r="S498" s="16" t="str">
        <f t="shared" si="7"/>
        <v>35-44</v>
      </c>
    </row>
    <row r="499" spans="1:19" x14ac:dyDescent="0.35">
      <c r="A499" s="2">
        <v>44524</v>
      </c>
      <c r="B499" s="2" t="str">
        <f>TEXT(Bike_Sales[[#This Row],[Date]],"mmmm")</f>
        <v>November</v>
      </c>
      <c r="C499" s="19">
        <f>MONTH(Bike_Sales[[#This Row],[Date]])</f>
        <v>11</v>
      </c>
      <c r="D499" s="2" t="str">
        <f>TEXT(Bike_Sales[[#This Row],[Date]],"dddd")</f>
        <v>Wednesday</v>
      </c>
      <c r="E499" s="3">
        <v>39</v>
      </c>
      <c r="F499" s="3" t="s">
        <v>135</v>
      </c>
      <c r="G499" s="3" t="s">
        <v>18</v>
      </c>
      <c r="H499" s="3" t="s">
        <v>35</v>
      </c>
      <c r="I499" s="3" t="s">
        <v>11</v>
      </c>
      <c r="J499" s="3" t="s">
        <v>102</v>
      </c>
      <c r="K499" s="3" t="s">
        <v>26</v>
      </c>
      <c r="L499" s="4">
        <v>1</v>
      </c>
      <c r="M499" s="3">
        <v>900</v>
      </c>
      <c r="N499" s="3">
        <v>1400</v>
      </c>
      <c r="O499" s="15">
        <f>Bike_Sales[[#This Row],[Order_Quantity]]*Bike_Sales[[#This Row],[Unit_Price]]</f>
        <v>1400</v>
      </c>
      <c r="P499" s="15">
        <f>Bike_Sales[[#This Row],[Order_Quantity]]*Bike_Sales[[#This Row],[Unit_Cost]]</f>
        <v>900</v>
      </c>
      <c r="Q499" s="15">
        <f>Bike_Sales[[#This Row],[Total Sales]]-Bike_Sales[[#This Row],[Total Cost]]</f>
        <v>500</v>
      </c>
      <c r="R499" s="17">
        <f>Bike_Sales[[#This Row],[Profit]]/Bike_Sales[[#This Row],[Total Sales]]</f>
        <v>0.35714285714285715</v>
      </c>
      <c r="S499" s="16" t="str">
        <f t="shared" si="7"/>
        <v>35-44</v>
      </c>
    </row>
    <row r="500" spans="1:19" x14ac:dyDescent="0.35">
      <c r="A500" s="2">
        <v>44527</v>
      </c>
      <c r="B500" s="2" t="str">
        <f>TEXT(Bike_Sales[[#This Row],[Date]],"mmmm")</f>
        <v>November</v>
      </c>
      <c r="C500" s="19">
        <f>MONTH(Bike_Sales[[#This Row],[Date]])</f>
        <v>11</v>
      </c>
      <c r="D500" s="2" t="str">
        <f>TEXT(Bike_Sales[[#This Row],[Date]],"dddd")</f>
        <v>Saturday</v>
      </c>
      <c r="E500" s="3">
        <v>39</v>
      </c>
      <c r="F500" s="3" t="s">
        <v>135</v>
      </c>
      <c r="G500" s="3" t="s">
        <v>39</v>
      </c>
      <c r="H500" s="3" t="s">
        <v>42</v>
      </c>
      <c r="I500" s="3" t="s">
        <v>11</v>
      </c>
      <c r="J500" s="3" t="s">
        <v>104</v>
      </c>
      <c r="K500" s="3" t="s">
        <v>20</v>
      </c>
      <c r="L500" s="4">
        <v>3</v>
      </c>
      <c r="M500" s="3">
        <v>530</v>
      </c>
      <c r="N500" s="3">
        <v>840</v>
      </c>
      <c r="O500" s="15">
        <f>Bike_Sales[[#This Row],[Order_Quantity]]*Bike_Sales[[#This Row],[Unit_Price]]</f>
        <v>2520</v>
      </c>
      <c r="P500" s="15">
        <f>Bike_Sales[[#This Row],[Order_Quantity]]*Bike_Sales[[#This Row],[Unit_Cost]]</f>
        <v>1590</v>
      </c>
      <c r="Q500" s="15">
        <f>Bike_Sales[[#This Row],[Total Sales]]-Bike_Sales[[#This Row],[Total Cost]]</f>
        <v>930</v>
      </c>
      <c r="R500" s="17">
        <f>Bike_Sales[[#This Row],[Profit]]/Bike_Sales[[#This Row],[Total Sales]]</f>
        <v>0.36904761904761907</v>
      </c>
      <c r="S500" s="16" t="str">
        <f t="shared" si="7"/>
        <v>35-44</v>
      </c>
    </row>
    <row r="501" spans="1:19" x14ac:dyDescent="0.35">
      <c r="A501" s="2">
        <v>44531</v>
      </c>
      <c r="B501" s="2" t="str">
        <f>TEXT(Bike_Sales[[#This Row],[Date]],"mmmm")</f>
        <v>December</v>
      </c>
      <c r="C501" s="19">
        <f>MONTH(Bike_Sales[[#This Row],[Date]])</f>
        <v>12</v>
      </c>
      <c r="D501" s="2" t="str">
        <f>TEXT(Bike_Sales[[#This Row],[Date]],"dddd")</f>
        <v>Wednesday</v>
      </c>
      <c r="E501" s="3">
        <v>39</v>
      </c>
      <c r="F501" s="3" t="s">
        <v>135</v>
      </c>
      <c r="G501" s="3" t="s">
        <v>9</v>
      </c>
      <c r="H501" s="3" t="s">
        <v>10</v>
      </c>
      <c r="I501" s="3" t="s">
        <v>16</v>
      </c>
      <c r="J501" s="3" t="s">
        <v>101</v>
      </c>
      <c r="K501" s="3" t="s">
        <v>49</v>
      </c>
      <c r="L501" s="4">
        <v>4</v>
      </c>
      <c r="M501" s="3">
        <v>550</v>
      </c>
      <c r="N501" s="3">
        <v>850</v>
      </c>
      <c r="O501" s="15">
        <f>Bike_Sales[[#This Row],[Order_Quantity]]*Bike_Sales[[#This Row],[Unit_Price]]</f>
        <v>3400</v>
      </c>
      <c r="P501" s="15">
        <f>Bike_Sales[[#This Row],[Order_Quantity]]*Bike_Sales[[#This Row],[Unit_Cost]]</f>
        <v>2200</v>
      </c>
      <c r="Q501" s="15">
        <f>Bike_Sales[[#This Row],[Total Sales]]-Bike_Sales[[#This Row],[Total Cost]]</f>
        <v>1200</v>
      </c>
      <c r="R501" s="17">
        <f>Bike_Sales[[#This Row],[Profit]]/Bike_Sales[[#This Row],[Total Sales]]</f>
        <v>0.35294117647058826</v>
      </c>
      <c r="S501" s="16" t="str">
        <f t="shared" si="7"/>
        <v>35-44</v>
      </c>
    </row>
    <row r="502" spans="1:19" x14ac:dyDescent="0.35">
      <c r="A502" s="2">
        <v>44532</v>
      </c>
      <c r="B502" s="2" t="str">
        <f>TEXT(Bike_Sales[[#This Row],[Date]],"mmmm")</f>
        <v>December</v>
      </c>
      <c r="C502" s="19">
        <f>MONTH(Bike_Sales[[#This Row],[Date]])</f>
        <v>12</v>
      </c>
      <c r="D502" s="2" t="str">
        <f>TEXT(Bike_Sales[[#This Row],[Date]],"dddd")</f>
        <v>Thursday</v>
      </c>
      <c r="E502" s="3">
        <v>39</v>
      </c>
      <c r="F502" s="3" t="s">
        <v>135</v>
      </c>
      <c r="G502" s="3" t="s">
        <v>129</v>
      </c>
      <c r="H502" s="3" t="s">
        <v>15</v>
      </c>
      <c r="I502" s="3" t="s">
        <v>11</v>
      </c>
      <c r="J502" s="3" t="s">
        <v>101</v>
      </c>
      <c r="K502" s="3" t="s">
        <v>32</v>
      </c>
      <c r="L502" s="4">
        <v>4</v>
      </c>
      <c r="M502" s="3">
        <v>700</v>
      </c>
      <c r="N502" s="3">
        <v>1100</v>
      </c>
      <c r="O502" s="15">
        <f>Bike_Sales[[#This Row],[Order_Quantity]]*Bike_Sales[[#This Row],[Unit_Price]]</f>
        <v>4400</v>
      </c>
      <c r="P502" s="15">
        <f>Bike_Sales[[#This Row],[Order_Quantity]]*Bike_Sales[[#This Row],[Unit_Cost]]</f>
        <v>2800</v>
      </c>
      <c r="Q502" s="15">
        <f>Bike_Sales[[#This Row],[Total Sales]]-Bike_Sales[[#This Row],[Total Cost]]</f>
        <v>1600</v>
      </c>
      <c r="R502" s="17">
        <f>Bike_Sales[[#This Row],[Profit]]/Bike_Sales[[#This Row],[Total Sales]]</f>
        <v>0.36363636363636365</v>
      </c>
      <c r="S502" s="16" t="str">
        <f t="shared" si="7"/>
        <v>35-44</v>
      </c>
    </row>
    <row r="503" spans="1:19" x14ac:dyDescent="0.35">
      <c r="A503" s="2">
        <v>44535</v>
      </c>
      <c r="B503" s="2" t="str">
        <f>TEXT(Bike_Sales[[#This Row],[Date]],"mmmm")</f>
        <v>December</v>
      </c>
      <c r="C503" s="19">
        <f>MONTH(Bike_Sales[[#This Row],[Date]])</f>
        <v>12</v>
      </c>
      <c r="D503" s="2" t="str">
        <f>TEXT(Bike_Sales[[#This Row],[Date]],"dddd")</f>
        <v>Sunday</v>
      </c>
      <c r="E503" s="3">
        <v>39</v>
      </c>
      <c r="F503" s="3" t="s">
        <v>135</v>
      </c>
      <c r="G503" s="3" t="s">
        <v>9</v>
      </c>
      <c r="H503" s="3" t="s">
        <v>10</v>
      </c>
      <c r="I503" s="3" t="s">
        <v>16</v>
      </c>
      <c r="J503" s="3" t="s">
        <v>101</v>
      </c>
      <c r="K503" s="3" t="s">
        <v>49</v>
      </c>
      <c r="L503" s="4">
        <v>4</v>
      </c>
      <c r="M503" s="3">
        <v>550</v>
      </c>
      <c r="N503" s="3">
        <v>850</v>
      </c>
      <c r="O503" s="15">
        <f>Bike_Sales[[#This Row],[Order_Quantity]]*Bike_Sales[[#This Row],[Unit_Price]]</f>
        <v>3400</v>
      </c>
      <c r="P503" s="15">
        <f>Bike_Sales[[#This Row],[Order_Quantity]]*Bike_Sales[[#This Row],[Unit_Cost]]</f>
        <v>2200</v>
      </c>
      <c r="Q503" s="15">
        <f>Bike_Sales[[#This Row],[Total Sales]]-Bike_Sales[[#This Row],[Total Cost]]</f>
        <v>1200</v>
      </c>
      <c r="R503" s="17">
        <f>Bike_Sales[[#This Row],[Profit]]/Bike_Sales[[#This Row],[Total Sales]]</f>
        <v>0.35294117647058826</v>
      </c>
      <c r="S503" s="16" t="str">
        <f t="shared" si="7"/>
        <v>35-44</v>
      </c>
    </row>
    <row r="504" spans="1:19" x14ac:dyDescent="0.35">
      <c r="A504" s="2">
        <v>44538</v>
      </c>
      <c r="B504" s="2" t="str">
        <f>TEXT(Bike_Sales[[#This Row],[Date]],"mmmm")</f>
        <v>December</v>
      </c>
      <c r="C504" s="19">
        <f>MONTH(Bike_Sales[[#This Row],[Date]])</f>
        <v>12</v>
      </c>
      <c r="D504" s="2" t="str">
        <f>TEXT(Bike_Sales[[#This Row],[Date]],"dddd")</f>
        <v>Wednesday</v>
      </c>
      <c r="E504" s="3">
        <v>39</v>
      </c>
      <c r="F504" s="3" t="s">
        <v>135</v>
      </c>
      <c r="G504" s="3" t="s">
        <v>9</v>
      </c>
      <c r="H504" s="3" t="s">
        <v>69</v>
      </c>
      <c r="I504" s="3" t="s">
        <v>16</v>
      </c>
      <c r="J504" s="3" t="s">
        <v>101</v>
      </c>
      <c r="K504" s="3" t="s">
        <v>25</v>
      </c>
      <c r="L504" s="4">
        <v>2</v>
      </c>
      <c r="M504" s="3">
        <v>550</v>
      </c>
      <c r="N504" s="3">
        <v>850</v>
      </c>
      <c r="O504" s="15">
        <f>Bike_Sales[[#This Row],[Order_Quantity]]*Bike_Sales[[#This Row],[Unit_Price]]</f>
        <v>1700</v>
      </c>
      <c r="P504" s="15">
        <f>Bike_Sales[[#This Row],[Order_Quantity]]*Bike_Sales[[#This Row],[Unit_Cost]]</f>
        <v>1100</v>
      </c>
      <c r="Q504" s="15">
        <f>Bike_Sales[[#This Row],[Total Sales]]-Bike_Sales[[#This Row],[Total Cost]]</f>
        <v>600</v>
      </c>
      <c r="R504" s="17">
        <f>Bike_Sales[[#This Row],[Profit]]/Bike_Sales[[#This Row],[Total Sales]]</f>
        <v>0.35294117647058826</v>
      </c>
      <c r="S504" s="16" t="str">
        <f t="shared" si="7"/>
        <v>35-44</v>
      </c>
    </row>
    <row r="505" spans="1:19" x14ac:dyDescent="0.35">
      <c r="A505" s="2">
        <v>44548</v>
      </c>
      <c r="B505" s="2" t="str">
        <f>TEXT(Bike_Sales[[#This Row],[Date]],"mmmm")</f>
        <v>December</v>
      </c>
      <c r="C505" s="19">
        <f>MONTH(Bike_Sales[[#This Row],[Date]])</f>
        <v>12</v>
      </c>
      <c r="D505" s="2" t="str">
        <f>TEXT(Bike_Sales[[#This Row],[Date]],"dddd")</f>
        <v>Saturday</v>
      </c>
      <c r="E505" s="3">
        <v>39</v>
      </c>
      <c r="F505" s="3" t="s">
        <v>126</v>
      </c>
      <c r="G505" s="3" t="s">
        <v>9</v>
      </c>
      <c r="H505" s="3" t="s">
        <v>10</v>
      </c>
      <c r="I505" s="3" t="s">
        <v>16</v>
      </c>
      <c r="J505" s="3" t="s">
        <v>101</v>
      </c>
      <c r="K505" s="3" t="s">
        <v>25</v>
      </c>
      <c r="L505" s="4">
        <v>3</v>
      </c>
      <c r="M505" s="3">
        <v>550</v>
      </c>
      <c r="N505" s="3">
        <v>850</v>
      </c>
      <c r="O505" s="15">
        <f>Bike_Sales[[#This Row],[Order_Quantity]]*Bike_Sales[[#This Row],[Unit_Price]]</f>
        <v>2550</v>
      </c>
      <c r="P505" s="15">
        <f>Bike_Sales[[#This Row],[Order_Quantity]]*Bike_Sales[[#This Row],[Unit_Cost]]</f>
        <v>1650</v>
      </c>
      <c r="Q505" s="15">
        <f>Bike_Sales[[#This Row],[Total Sales]]-Bike_Sales[[#This Row],[Total Cost]]</f>
        <v>900</v>
      </c>
      <c r="R505" s="17">
        <f>Bike_Sales[[#This Row],[Profit]]/Bike_Sales[[#This Row],[Total Sales]]</f>
        <v>0.35294117647058826</v>
      </c>
      <c r="S505" s="16" t="str">
        <f t="shared" si="7"/>
        <v>35-44</v>
      </c>
    </row>
    <row r="506" spans="1:19" x14ac:dyDescent="0.35">
      <c r="A506" s="2">
        <v>44549</v>
      </c>
      <c r="B506" s="2" t="str">
        <f>TEXT(Bike_Sales[[#This Row],[Date]],"mmmm")</f>
        <v>December</v>
      </c>
      <c r="C506" s="19">
        <f>MONTH(Bike_Sales[[#This Row],[Date]])</f>
        <v>12</v>
      </c>
      <c r="D506" s="2" t="str">
        <f>TEXT(Bike_Sales[[#This Row],[Date]],"dddd")</f>
        <v>Sunday</v>
      </c>
      <c r="E506" s="3">
        <v>39</v>
      </c>
      <c r="F506" s="3" t="s">
        <v>135</v>
      </c>
      <c r="G506" s="3" t="s">
        <v>9</v>
      </c>
      <c r="H506" s="3" t="s">
        <v>10</v>
      </c>
      <c r="I506" s="3" t="s">
        <v>16</v>
      </c>
      <c r="J506" s="3" t="s">
        <v>101</v>
      </c>
      <c r="K506" s="3" t="s">
        <v>49</v>
      </c>
      <c r="L506" s="4">
        <v>4</v>
      </c>
      <c r="M506" s="3">
        <v>550</v>
      </c>
      <c r="N506" s="3">
        <v>850</v>
      </c>
      <c r="O506" s="15">
        <f>Bike_Sales[[#This Row],[Order_Quantity]]*Bike_Sales[[#This Row],[Unit_Price]]</f>
        <v>3400</v>
      </c>
      <c r="P506" s="15">
        <f>Bike_Sales[[#This Row],[Order_Quantity]]*Bike_Sales[[#This Row],[Unit_Cost]]</f>
        <v>2200</v>
      </c>
      <c r="Q506" s="15">
        <f>Bike_Sales[[#This Row],[Total Sales]]-Bike_Sales[[#This Row],[Total Cost]]</f>
        <v>1200</v>
      </c>
      <c r="R506" s="17">
        <f>Bike_Sales[[#This Row],[Profit]]/Bike_Sales[[#This Row],[Total Sales]]</f>
        <v>0.35294117647058826</v>
      </c>
      <c r="S506" s="16" t="str">
        <f t="shared" si="7"/>
        <v>35-44</v>
      </c>
    </row>
    <row r="507" spans="1:19" x14ac:dyDescent="0.35">
      <c r="A507" s="2">
        <v>44549</v>
      </c>
      <c r="B507" s="2" t="str">
        <f>TEXT(Bike_Sales[[#This Row],[Date]],"mmmm")</f>
        <v>December</v>
      </c>
      <c r="C507" s="19">
        <f>MONTH(Bike_Sales[[#This Row],[Date]])</f>
        <v>12</v>
      </c>
      <c r="D507" s="2" t="str">
        <f>TEXT(Bike_Sales[[#This Row],[Date]],"dddd")</f>
        <v>Sunday</v>
      </c>
      <c r="E507" s="3">
        <v>39</v>
      </c>
      <c r="F507" s="3" t="s">
        <v>135</v>
      </c>
      <c r="G507" s="3" t="s">
        <v>9</v>
      </c>
      <c r="H507" s="3" t="s">
        <v>37</v>
      </c>
      <c r="I507" s="3" t="s">
        <v>16</v>
      </c>
      <c r="J507" s="3" t="s">
        <v>103</v>
      </c>
      <c r="K507" s="3" t="s">
        <v>22</v>
      </c>
      <c r="L507" s="4">
        <v>1</v>
      </c>
      <c r="M507" s="3">
        <v>550</v>
      </c>
      <c r="N507" s="3">
        <v>850</v>
      </c>
      <c r="O507" s="15">
        <f>Bike_Sales[[#This Row],[Order_Quantity]]*Bike_Sales[[#This Row],[Unit_Price]]</f>
        <v>850</v>
      </c>
      <c r="P507" s="15">
        <f>Bike_Sales[[#This Row],[Order_Quantity]]*Bike_Sales[[#This Row],[Unit_Cost]]</f>
        <v>550</v>
      </c>
      <c r="Q507" s="15">
        <f>Bike_Sales[[#This Row],[Total Sales]]-Bike_Sales[[#This Row],[Total Cost]]</f>
        <v>300</v>
      </c>
      <c r="R507" s="17">
        <f>Bike_Sales[[#This Row],[Profit]]/Bike_Sales[[#This Row],[Total Sales]]</f>
        <v>0.35294117647058826</v>
      </c>
      <c r="S507" s="16" t="str">
        <f t="shared" si="7"/>
        <v>35-44</v>
      </c>
    </row>
    <row r="508" spans="1:19" x14ac:dyDescent="0.35">
      <c r="A508" s="2">
        <v>44558</v>
      </c>
      <c r="B508" s="2" t="str">
        <f>TEXT(Bike_Sales[[#This Row],[Date]],"mmmm")</f>
        <v>December</v>
      </c>
      <c r="C508" s="19">
        <f>MONTH(Bike_Sales[[#This Row],[Date]])</f>
        <v>12</v>
      </c>
      <c r="D508" s="2" t="str">
        <f>TEXT(Bike_Sales[[#This Row],[Date]],"dddd")</f>
        <v>Tuesday</v>
      </c>
      <c r="E508" s="3">
        <v>39</v>
      </c>
      <c r="F508" s="3" t="s">
        <v>135</v>
      </c>
      <c r="G508" s="3" t="s">
        <v>9</v>
      </c>
      <c r="H508" s="3" t="s">
        <v>10</v>
      </c>
      <c r="I508" s="3" t="s">
        <v>16</v>
      </c>
      <c r="J508" s="3" t="s">
        <v>101</v>
      </c>
      <c r="K508" s="3" t="s">
        <v>49</v>
      </c>
      <c r="L508" s="4">
        <v>1</v>
      </c>
      <c r="M508" s="3">
        <v>550</v>
      </c>
      <c r="N508" s="3">
        <v>850</v>
      </c>
      <c r="O508" s="15">
        <f>Bike_Sales[[#This Row],[Order_Quantity]]*Bike_Sales[[#This Row],[Unit_Price]]</f>
        <v>850</v>
      </c>
      <c r="P508" s="15">
        <f>Bike_Sales[[#This Row],[Order_Quantity]]*Bike_Sales[[#This Row],[Unit_Cost]]</f>
        <v>550</v>
      </c>
      <c r="Q508" s="15">
        <f>Bike_Sales[[#This Row],[Total Sales]]-Bike_Sales[[#This Row],[Total Cost]]</f>
        <v>300</v>
      </c>
      <c r="R508" s="17">
        <f>Bike_Sales[[#This Row],[Profit]]/Bike_Sales[[#This Row],[Total Sales]]</f>
        <v>0.35294117647058826</v>
      </c>
      <c r="S508" s="16" t="str">
        <f t="shared" si="7"/>
        <v>35-44</v>
      </c>
    </row>
    <row r="509" spans="1:19" x14ac:dyDescent="0.35">
      <c r="A509" s="2">
        <v>44470</v>
      </c>
      <c r="B509" s="2" t="str">
        <f>TEXT(Bike_Sales[[#This Row],[Date]],"mmmm")</f>
        <v>October</v>
      </c>
      <c r="C509" s="19">
        <f>MONTH(Bike_Sales[[#This Row],[Date]])</f>
        <v>10</v>
      </c>
      <c r="D509" s="2" t="str">
        <f>TEXT(Bike_Sales[[#This Row],[Date]],"dddd")</f>
        <v>Friday</v>
      </c>
      <c r="E509" s="3">
        <v>40</v>
      </c>
      <c r="F509" s="3" t="s">
        <v>135</v>
      </c>
      <c r="G509" s="3" t="s">
        <v>18</v>
      </c>
      <c r="H509" s="3" t="s">
        <v>19</v>
      </c>
      <c r="I509" s="3" t="s">
        <v>11</v>
      </c>
      <c r="J509" s="3" t="s">
        <v>104</v>
      </c>
      <c r="K509" s="3" t="s">
        <v>20</v>
      </c>
      <c r="L509" s="4">
        <v>2</v>
      </c>
      <c r="M509" s="3">
        <v>530</v>
      </c>
      <c r="N509" s="3">
        <v>840</v>
      </c>
      <c r="O509" s="15">
        <f>Bike_Sales[[#This Row],[Order_Quantity]]*Bike_Sales[[#This Row],[Unit_Price]]</f>
        <v>1680</v>
      </c>
      <c r="P509" s="15">
        <f>Bike_Sales[[#This Row],[Order_Quantity]]*Bike_Sales[[#This Row],[Unit_Cost]]</f>
        <v>1060</v>
      </c>
      <c r="Q509" s="15">
        <f>Bike_Sales[[#This Row],[Total Sales]]-Bike_Sales[[#This Row],[Total Cost]]</f>
        <v>620</v>
      </c>
      <c r="R509" s="17">
        <f>Bike_Sales[[#This Row],[Profit]]/Bike_Sales[[#This Row],[Total Sales]]</f>
        <v>0.36904761904761907</v>
      </c>
      <c r="S509" s="16" t="str">
        <f t="shared" si="7"/>
        <v>35-44</v>
      </c>
    </row>
    <row r="510" spans="1:19" x14ac:dyDescent="0.35">
      <c r="A510" s="2">
        <v>44474</v>
      </c>
      <c r="B510" s="2" t="str">
        <f>TEXT(Bike_Sales[[#This Row],[Date]],"mmmm")</f>
        <v>October</v>
      </c>
      <c r="C510" s="19">
        <f>MONTH(Bike_Sales[[#This Row],[Date]])</f>
        <v>10</v>
      </c>
      <c r="D510" s="2" t="str">
        <f>TEXT(Bike_Sales[[#This Row],[Date]],"dddd")</f>
        <v>Tuesday</v>
      </c>
      <c r="E510" s="3">
        <v>40</v>
      </c>
      <c r="F510" s="3" t="s">
        <v>126</v>
      </c>
      <c r="G510" s="3" t="s">
        <v>33</v>
      </c>
      <c r="H510" s="3" t="s">
        <v>136</v>
      </c>
      <c r="I510" s="3" t="s">
        <v>11</v>
      </c>
      <c r="J510" s="3" t="s">
        <v>102</v>
      </c>
      <c r="K510" s="3" t="s">
        <v>36</v>
      </c>
      <c r="L510" s="4">
        <v>1</v>
      </c>
      <c r="M510" s="3">
        <v>580</v>
      </c>
      <c r="N510" s="3">
        <v>920</v>
      </c>
      <c r="O510" s="15">
        <f>Bike_Sales[[#This Row],[Order_Quantity]]*Bike_Sales[[#This Row],[Unit_Price]]</f>
        <v>920</v>
      </c>
      <c r="P510" s="15">
        <f>Bike_Sales[[#This Row],[Order_Quantity]]*Bike_Sales[[#This Row],[Unit_Cost]]</f>
        <v>580</v>
      </c>
      <c r="Q510" s="15">
        <f>Bike_Sales[[#This Row],[Total Sales]]-Bike_Sales[[#This Row],[Total Cost]]</f>
        <v>340</v>
      </c>
      <c r="R510" s="17">
        <f>Bike_Sales[[#This Row],[Profit]]/Bike_Sales[[#This Row],[Total Sales]]</f>
        <v>0.36956521739130432</v>
      </c>
      <c r="S510" s="16" t="str">
        <f t="shared" si="7"/>
        <v>35-44</v>
      </c>
    </row>
    <row r="511" spans="1:19" x14ac:dyDescent="0.35">
      <c r="A511" s="2">
        <v>44482</v>
      </c>
      <c r="B511" s="2" t="str">
        <f>TEXT(Bike_Sales[[#This Row],[Date]],"mmmm")</f>
        <v>October</v>
      </c>
      <c r="C511" s="19">
        <f>MONTH(Bike_Sales[[#This Row],[Date]])</f>
        <v>10</v>
      </c>
      <c r="D511" s="2" t="str">
        <f>TEXT(Bike_Sales[[#This Row],[Date]],"dddd")</f>
        <v>Wednesday</v>
      </c>
      <c r="E511" s="3">
        <v>40</v>
      </c>
      <c r="F511" s="3" t="s">
        <v>126</v>
      </c>
      <c r="G511" s="3" t="s">
        <v>18</v>
      </c>
      <c r="H511" s="3" t="s">
        <v>19</v>
      </c>
      <c r="I511" s="3" t="s">
        <v>11</v>
      </c>
      <c r="J511" s="3" t="s">
        <v>101</v>
      </c>
      <c r="K511" s="3" t="s">
        <v>54</v>
      </c>
      <c r="L511" s="4">
        <v>4</v>
      </c>
      <c r="M511" s="3">
        <v>580</v>
      </c>
      <c r="N511" s="3">
        <v>920</v>
      </c>
      <c r="O511" s="15">
        <f>Bike_Sales[[#This Row],[Order_Quantity]]*Bike_Sales[[#This Row],[Unit_Price]]</f>
        <v>3680</v>
      </c>
      <c r="P511" s="15">
        <f>Bike_Sales[[#This Row],[Order_Quantity]]*Bike_Sales[[#This Row],[Unit_Cost]]</f>
        <v>2320</v>
      </c>
      <c r="Q511" s="15">
        <f>Bike_Sales[[#This Row],[Total Sales]]-Bike_Sales[[#This Row],[Total Cost]]</f>
        <v>1360</v>
      </c>
      <c r="R511" s="17">
        <f>Bike_Sales[[#This Row],[Profit]]/Bike_Sales[[#This Row],[Total Sales]]</f>
        <v>0.36956521739130432</v>
      </c>
      <c r="S511" s="16" t="str">
        <f t="shared" si="7"/>
        <v>35-44</v>
      </c>
    </row>
    <row r="512" spans="1:19" x14ac:dyDescent="0.35">
      <c r="A512" s="2">
        <v>44482</v>
      </c>
      <c r="B512" s="2" t="str">
        <f>TEXT(Bike_Sales[[#This Row],[Date]],"mmmm")</f>
        <v>October</v>
      </c>
      <c r="C512" s="19">
        <f>MONTH(Bike_Sales[[#This Row],[Date]])</f>
        <v>10</v>
      </c>
      <c r="D512" s="2" t="str">
        <f>TEXT(Bike_Sales[[#This Row],[Date]],"dddd")</f>
        <v>Wednesday</v>
      </c>
      <c r="E512" s="3">
        <v>40</v>
      </c>
      <c r="F512" s="3" t="s">
        <v>135</v>
      </c>
      <c r="G512" s="3" t="s">
        <v>18</v>
      </c>
      <c r="H512" s="3" t="s">
        <v>24</v>
      </c>
      <c r="I512" s="3" t="s">
        <v>11</v>
      </c>
      <c r="J512" s="3" t="s">
        <v>101</v>
      </c>
      <c r="K512" s="3" t="s">
        <v>46</v>
      </c>
      <c r="L512" s="4">
        <v>3</v>
      </c>
      <c r="M512" s="3">
        <v>580</v>
      </c>
      <c r="N512" s="3">
        <v>920</v>
      </c>
      <c r="O512" s="15">
        <f>Bike_Sales[[#This Row],[Order_Quantity]]*Bike_Sales[[#This Row],[Unit_Price]]</f>
        <v>2760</v>
      </c>
      <c r="P512" s="15">
        <f>Bike_Sales[[#This Row],[Order_Quantity]]*Bike_Sales[[#This Row],[Unit_Cost]]</f>
        <v>1740</v>
      </c>
      <c r="Q512" s="15">
        <f>Bike_Sales[[#This Row],[Total Sales]]-Bike_Sales[[#This Row],[Total Cost]]</f>
        <v>1020</v>
      </c>
      <c r="R512" s="17">
        <f>Bike_Sales[[#This Row],[Profit]]/Bike_Sales[[#This Row],[Total Sales]]</f>
        <v>0.36956521739130432</v>
      </c>
      <c r="S512" s="16" t="str">
        <f t="shared" si="7"/>
        <v>35-44</v>
      </c>
    </row>
    <row r="513" spans="1:19" x14ac:dyDescent="0.35">
      <c r="A513" s="2">
        <v>44495</v>
      </c>
      <c r="B513" s="2" t="str">
        <f>TEXT(Bike_Sales[[#This Row],[Date]],"mmmm")</f>
        <v>October</v>
      </c>
      <c r="C513" s="19">
        <f>MONTH(Bike_Sales[[#This Row],[Date]])</f>
        <v>10</v>
      </c>
      <c r="D513" s="2" t="str">
        <f>TEXT(Bike_Sales[[#This Row],[Date]],"dddd")</f>
        <v>Tuesday</v>
      </c>
      <c r="E513" s="3">
        <v>40</v>
      </c>
      <c r="F513" s="3" t="s">
        <v>126</v>
      </c>
      <c r="G513" s="3" t="s">
        <v>18</v>
      </c>
      <c r="H513" s="3" t="s">
        <v>35</v>
      </c>
      <c r="I513" s="3" t="s">
        <v>16</v>
      </c>
      <c r="J513" s="3" t="s">
        <v>101</v>
      </c>
      <c r="K513" s="3" t="s">
        <v>25</v>
      </c>
      <c r="L513" s="4">
        <v>3</v>
      </c>
      <c r="M513" s="3">
        <v>550</v>
      </c>
      <c r="N513" s="3">
        <v>850</v>
      </c>
      <c r="O513" s="15">
        <f>Bike_Sales[[#This Row],[Order_Quantity]]*Bike_Sales[[#This Row],[Unit_Price]]</f>
        <v>2550</v>
      </c>
      <c r="P513" s="15">
        <f>Bike_Sales[[#This Row],[Order_Quantity]]*Bike_Sales[[#This Row],[Unit_Cost]]</f>
        <v>1650</v>
      </c>
      <c r="Q513" s="15">
        <f>Bike_Sales[[#This Row],[Total Sales]]-Bike_Sales[[#This Row],[Total Cost]]</f>
        <v>900</v>
      </c>
      <c r="R513" s="17">
        <f>Bike_Sales[[#This Row],[Profit]]/Bike_Sales[[#This Row],[Total Sales]]</f>
        <v>0.35294117647058826</v>
      </c>
      <c r="S513" s="16" t="str">
        <f t="shared" si="7"/>
        <v>35-44</v>
      </c>
    </row>
    <row r="514" spans="1:19" x14ac:dyDescent="0.35">
      <c r="A514" s="2">
        <v>44498</v>
      </c>
      <c r="B514" s="2" t="str">
        <f>TEXT(Bike_Sales[[#This Row],[Date]],"mmmm")</f>
        <v>October</v>
      </c>
      <c r="C514" s="19">
        <f>MONTH(Bike_Sales[[#This Row],[Date]])</f>
        <v>10</v>
      </c>
      <c r="D514" s="2" t="str">
        <f>TEXT(Bike_Sales[[#This Row],[Date]],"dddd")</f>
        <v>Friday</v>
      </c>
      <c r="E514" s="3">
        <v>40</v>
      </c>
      <c r="F514" s="3" t="s">
        <v>135</v>
      </c>
      <c r="G514" s="3" t="s">
        <v>33</v>
      </c>
      <c r="H514" s="3" t="s">
        <v>128</v>
      </c>
      <c r="I514" s="3" t="s">
        <v>11</v>
      </c>
      <c r="J514" s="3" t="s">
        <v>102</v>
      </c>
      <c r="K514" s="3" t="s">
        <v>23</v>
      </c>
      <c r="L514" s="4">
        <v>1</v>
      </c>
      <c r="M514" s="3">
        <v>620</v>
      </c>
      <c r="N514" s="3">
        <v>980</v>
      </c>
      <c r="O514" s="15">
        <f>Bike_Sales[[#This Row],[Order_Quantity]]*Bike_Sales[[#This Row],[Unit_Price]]</f>
        <v>980</v>
      </c>
      <c r="P514" s="15">
        <f>Bike_Sales[[#This Row],[Order_Quantity]]*Bike_Sales[[#This Row],[Unit_Cost]]</f>
        <v>620</v>
      </c>
      <c r="Q514" s="15">
        <f>Bike_Sales[[#This Row],[Total Sales]]-Bike_Sales[[#This Row],[Total Cost]]</f>
        <v>360</v>
      </c>
      <c r="R514" s="17">
        <f>Bike_Sales[[#This Row],[Profit]]/Bike_Sales[[#This Row],[Total Sales]]</f>
        <v>0.36734693877551022</v>
      </c>
      <c r="S514" s="16" t="str">
        <f t="shared" ref="S514:S577" si="8">IF(E514&lt;25,"Under 25",IF(E514&lt;35,"25-34",IF(E514&lt;45,"35-44",IF(E514&lt;55,"45-54","55+"))))</f>
        <v>35-44</v>
      </c>
    </row>
    <row r="515" spans="1:19" x14ac:dyDescent="0.35">
      <c r="A515" s="2">
        <v>44506</v>
      </c>
      <c r="B515" s="2" t="str">
        <f>TEXT(Bike_Sales[[#This Row],[Date]],"mmmm")</f>
        <v>November</v>
      </c>
      <c r="C515" s="19">
        <f>MONTH(Bike_Sales[[#This Row],[Date]])</f>
        <v>11</v>
      </c>
      <c r="D515" s="2" t="str">
        <f>TEXT(Bike_Sales[[#This Row],[Date]],"dddd")</f>
        <v>Saturday</v>
      </c>
      <c r="E515" s="3">
        <v>40</v>
      </c>
      <c r="F515" s="3" t="s">
        <v>135</v>
      </c>
      <c r="G515" s="3" t="s">
        <v>18</v>
      </c>
      <c r="H515" s="3" t="s">
        <v>21</v>
      </c>
      <c r="I515" s="3" t="s">
        <v>16</v>
      </c>
      <c r="J515" s="3" t="s">
        <v>103</v>
      </c>
      <c r="K515" s="3" t="s">
        <v>45</v>
      </c>
      <c r="L515" s="4">
        <v>2</v>
      </c>
      <c r="M515" s="3">
        <v>550</v>
      </c>
      <c r="N515" s="3">
        <v>850</v>
      </c>
      <c r="O515" s="15">
        <f>Bike_Sales[[#This Row],[Order_Quantity]]*Bike_Sales[[#This Row],[Unit_Price]]</f>
        <v>1700</v>
      </c>
      <c r="P515" s="15">
        <f>Bike_Sales[[#This Row],[Order_Quantity]]*Bike_Sales[[#This Row],[Unit_Cost]]</f>
        <v>1100</v>
      </c>
      <c r="Q515" s="15">
        <f>Bike_Sales[[#This Row],[Total Sales]]-Bike_Sales[[#This Row],[Total Cost]]</f>
        <v>600</v>
      </c>
      <c r="R515" s="17">
        <f>Bike_Sales[[#This Row],[Profit]]/Bike_Sales[[#This Row],[Total Sales]]</f>
        <v>0.35294117647058826</v>
      </c>
      <c r="S515" s="16" t="str">
        <f t="shared" si="8"/>
        <v>35-44</v>
      </c>
    </row>
    <row r="516" spans="1:19" x14ac:dyDescent="0.35">
      <c r="A516" s="2">
        <v>44506</v>
      </c>
      <c r="B516" s="2" t="str">
        <f>TEXT(Bike_Sales[[#This Row],[Date]],"mmmm")</f>
        <v>November</v>
      </c>
      <c r="C516" s="19">
        <f>MONTH(Bike_Sales[[#This Row],[Date]])</f>
        <v>11</v>
      </c>
      <c r="D516" s="2" t="str">
        <f>TEXT(Bike_Sales[[#This Row],[Date]],"dddd")</f>
        <v>Saturday</v>
      </c>
      <c r="E516" s="3">
        <v>40</v>
      </c>
      <c r="F516" s="3" t="s">
        <v>135</v>
      </c>
      <c r="G516" s="3" t="s">
        <v>18</v>
      </c>
      <c r="H516" s="3" t="s">
        <v>24</v>
      </c>
      <c r="I516" s="3" t="s">
        <v>11</v>
      </c>
      <c r="J516" s="3" t="s">
        <v>101</v>
      </c>
      <c r="K516" s="3" t="s">
        <v>46</v>
      </c>
      <c r="L516" s="4">
        <v>1</v>
      </c>
      <c r="M516" s="3">
        <v>580</v>
      </c>
      <c r="N516" s="3">
        <v>920</v>
      </c>
      <c r="O516" s="15">
        <f>Bike_Sales[[#This Row],[Order_Quantity]]*Bike_Sales[[#This Row],[Unit_Price]]</f>
        <v>920</v>
      </c>
      <c r="P516" s="15">
        <f>Bike_Sales[[#This Row],[Order_Quantity]]*Bike_Sales[[#This Row],[Unit_Cost]]</f>
        <v>580</v>
      </c>
      <c r="Q516" s="15">
        <f>Bike_Sales[[#This Row],[Total Sales]]-Bike_Sales[[#This Row],[Total Cost]]</f>
        <v>340</v>
      </c>
      <c r="R516" s="17">
        <f>Bike_Sales[[#This Row],[Profit]]/Bike_Sales[[#This Row],[Total Sales]]</f>
        <v>0.36956521739130432</v>
      </c>
      <c r="S516" s="16" t="str">
        <f t="shared" si="8"/>
        <v>35-44</v>
      </c>
    </row>
    <row r="517" spans="1:19" x14ac:dyDescent="0.35">
      <c r="A517" s="2">
        <v>44508</v>
      </c>
      <c r="B517" s="2" t="str">
        <f>TEXT(Bike_Sales[[#This Row],[Date]],"mmmm")</f>
        <v>November</v>
      </c>
      <c r="C517" s="19">
        <f>MONTH(Bike_Sales[[#This Row],[Date]])</f>
        <v>11</v>
      </c>
      <c r="D517" s="2" t="str">
        <f>TEXT(Bike_Sales[[#This Row],[Date]],"dddd")</f>
        <v>Monday</v>
      </c>
      <c r="E517" s="3">
        <v>40</v>
      </c>
      <c r="F517" s="3" t="s">
        <v>126</v>
      </c>
      <c r="G517" s="3" t="s">
        <v>18</v>
      </c>
      <c r="H517" s="3" t="s">
        <v>24</v>
      </c>
      <c r="I517" s="3" t="s">
        <v>11</v>
      </c>
      <c r="J517" s="3" t="s">
        <v>102</v>
      </c>
      <c r="K517" s="3" t="s">
        <v>36</v>
      </c>
      <c r="L517" s="4">
        <v>1</v>
      </c>
      <c r="M517" s="3">
        <v>580</v>
      </c>
      <c r="N517" s="3">
        <v>920</v>
      </c>
      <c r="O517" s="15">
        <f>Bike_Sales[[#This Row],[Order_Quantity]]*Bike_Sales[[#This Row],[Unit_Price]]</f>
        <v>920</v>
      </c>
      <c r="P517" s="15">
        <f>Bike_Sales[[#This Row],[Order_Quantity]]*Bike_Sales[[#This Row],[Unit_Cost]]</f>
        <v>580</v>
      </c>
      <c r="Q517" s="15">
        <f>Bike_Sales[[#This Row],[Total Sales]]-Bike_Sales[[#This Row],[Total Cost]]</f>
        <v>340</v>
      </c>
      <c r="R517" s="17">
        <f>Bike_Sales[[#This Row],[Profit]]/Bike_Sales[[#This Row],[Total Sales]]</f>
        <v>0.36956521739130432</v>
      </c>
      <c r="S517" s="16" t="str">
        <f t="shared" si="8"/>
        <v>35-44</v>
      </c>
    </row>
    <row r="518" spans="1:19" x14ac:dyDescent="0.35">
      <c r="A518" s="2">
        <v>44515</v>
      </c>
      <c r="B518" s="2" t="str">
        <f>TEXT(Bike_Sales[[#This Row],[Date]],"mmmm")</f>
        <v>November</v>
      </c>
      <c r="C518" s="19">
        <f>MONTH(Bike_Sales[[#This Row],[Date]])</f>
        <v>11</v>
      </c>
      <c r="D518" s="2" t="str">
        <f>TEXT(Bike_Sales[[#This Row],[Date]],"dddd")</f>
        <v>Monday</v>
      </c>
      <c r="E518" s="3">
        <v>40</v>
      </c>
      <c r="F518" s="3" t="s">
        <v>126</v>
      </c>
      <c r="G518" s="3" t="s">
        <v>129</v>
      </c>
      <c r="H518" s="3" t="s">
        <v>15</v>
      </c>
      <c r="I518" s="3" t="s">
        <v>11</v>
      </c>
      <c r="J518" s="3" t="s">
        <v>101</v>
      </c>
      <c r="K518" s="3" t="s">
        <v>67</v>
      </c>
      <c r="L518" s="4">
        <v>1</v>
      </c>
      <c r="M518" s="3">
        <v>700</v>
      </c>
      <c r="N518" s="3">
        <v>1100</v>
      </c>
      <c r="O518" s="15">
        <f>Bike_Sales[[#This Row],[Order_Quantity]]*Bike_Sales[[#This Row],[Unit_Price]]</f>
        <v>1100</v>
      </c>
      <c r="P518" s="15">
        <f>Bike_Sales[[#This Row],[Order_Quantity]]*Bike_Sales[[#This Row],[Unit_Cost]]</f>
        <v>700</v>
      </c>
      <c r="Q518" s="15">
        <f>Bike_Sales[[#This Row],[Total Sales]]-Bike_Sales[[#This Row],[Total Cost]]</f>
        <v>400</v>
      </c>
      <c r="R518" s="17">
        <f>Bike_Sales[[#This Row],[Profit]]/Bike_Sales[[#This Row],[Total Sales]]</f>
        <v>0.36363636363636365</v>
      </c>
      <c r="S518" s="16" t="str">
        <f t="shared" si="8"/>
        <v>35-44</v>
      </c>
    </row>
    <row r="519" spans="1:19" x14ac:dyDescent="0.35">
      <c r="A519" s="2">
        <v>44516</v>
      </c>
      <c r="B519" s="2" t="str">
        <f>TEXT(Bike_Sales[[#This Row],[Date]],"mmmm")</f>
        <v>November</v>
      </c>
      <c r="C519" s="19">
        <f>MONTH(Bike_Sales[[#This Row],[Date]])</f>
        <v>11</v>
      </c>
      <c r="D519" s="2" t="str">
        <f>TEXT(Bike_Sales[[#This Row],[Date]],"dddd")</f>
        <v>Tuesday</v>
      </c>
      <c r="E519" s="3">
        <v>40</v>
      </c>
      <c r="F519" s="3" t="s">
        <v>135</v>
      </c>
      <c r="G519" s="3" t="s">
        <v>33</v>
      </c>
      <c r="H519" s="3" t="s">
        <v>128</v>
      </c>
      <c r="I519" s="3" t="s">
        <v>16</v>
      </c>
      <c r="J519" s="3" t="s">
        <v>101</v>
      </c>
      <c r="K519" s="3" t="s">
        <v>17</v>
      </c>
      <c r="L519" s="4">
        <v>3</v>
      </c>
      <c r="M519" s="3">
        <v>550</v>
      </c>
      <c r="N519" s="3">
        <v>850</v>
      </c>
      <c r="O519" s="15">
        <f>Bike_Sales[[#This Row],[Order_Quantity]]*Bike_Sales[[#This Row],[Unit_Price]]</f>
        <v>2550</v>
      </c>
      <c r="P519" s="15">
        <f>Bike_Sales[[#This Row],[Order_Quantity]]*Bike_Sales[[#This Row],[Unit_Cost]]</f>
        <v>1650</v>
      </c>
      <c r="Q519" s="15">
        <f>Bike_Sales[[#This Row],[Total Sales]]-Bike_Sales[[#This Row],[Total Cost]]</f>
        <v>900</v>
      </c>
      <c r="R519" s="17">
        <f>Bike_Sales[[#This Row],[Profit]]/Bike_Sales[[#This Row],[Total Sales]]</f>
        <v>0.35294117647058826</v>
      </c>
      <c r="S519" s="16" t="str">
        <f t="shared" si="8"/>
        <v>35-44</v>
      </c>
    </row>
    <row r="520" spans="1:19" x14ac:dyDescent="0.35">
      <c r="A520" s="2">
        <v>44520</v>
      </c>
      <c r="B520" s="2" t="str">
        <f>TEXT(Bike_Sales[[#This Row],[Date]],"mmmm")</f>
        <v>November</v>
      </c>
      <c r="C520" s="19">
        <f>MONTH(Bike_Sales[[#This Row],[Date]])</f>
        <v>11</v>
      </c>
      <c r="D520" s="2" t="str">
        <f>TEXT(Bike_Sales[[#This Row],[Date]],"dddd")</f>
        <v>Saturday</v>
      </c>
      <c r="E520" s="3">
        <v>40</v>
      </c>
      <c r="F520" s="3" t="s">
        <v>135</v>
      </c>
      <c r="G520" s="3" t="s">
        <v>33</v>
      </c>
      <c r="H520" s="3" t="s">
        <v>61</v>
      </c>
      <c r="I520" s="3" t="s">
        <v>16</v>
      </c>
      <c r="J520" s="3" t="s">
        <v>103</v>
      </c>
      <c r="K520" s="3" t="s">
        <v>45</v>
      </c>
      <c r="L520" s="4">
        <v>4</v>
      </c>
      <c r="M520" s="3">
        <v>550</v>
      </c>
      <c r="N520" s="3">
        <v>850</v>
      </c>
      <c r="O520" s="15">
        <f>Bike_Sales[[#This Row],[Order_Quantity]]*Bike_Sales[[#This Row],[Unit_Price]]</f>
        <v>3400</v>
      </c>
      <c r="P520" s="15">
        <f>Bike_Sales[[#This Row],[Order_Quantity]]*Bike_Sales[[#This Row],[Unit_Cost]]</f>
        <v>2200</v>
      </c>
      <c r="Q520" s="15">
        <f>Bike_Sales[[#This Row],[Total Sales]]-Bike_Sales[[#This Row],[Total Cost]]</f>
        <v>1200</v>
      </c>
      <c r="R520" s="17">
        <f>Bike_Sales[[#This Row],[Profit]]/Bike_Sales[[#This Row],[Total Sales]]</f>
        <v>0.35294117647058826</v>
      </c>
      <c r="S520" s="16" t="str">
        <f t="shared" si="8"/>
        <v>35-44</v>
      </c>
    </row>
    <row r="521" spans="1:19" x14ac:dyDescent="0.35">
      <c r="A521" s="2">
        <v>44520</v>
      </c>
      <c r="B521" s="2" t="str">
        <f>TEXT(Bike_Sales[[#This Row],[Date]],"mmmm")</f>
        <v>November</v>
      </c>
      <c r="C521" s="19">
        <f>MONTH(Bike_Sales[[#This Row],[Date]])</f>
        <v>11</v>
      </c>
      <c r="D521" s="2" t="str">
        <f>TEXT(Bike_Sales[[#This Row],[Date]],"dddd")</f>
        <v>Saturday</v>
      </c>
      <c r="E521" s="3">
        <v>40</v>
      </c>
      <c r="F521" s="3" t="s">
        <v>135</v>
      </c>
      <c r="G521" s="3" t="s">
        <v>18</v>
      </c>
      <c r="H521" s="3" t="s">
        <v>19</v>
      </c>
      <c r="I521" s="3" t="s">
        <v>11</v>
      </c>
      <c r="J521" s="3" t="s">
        <v>104</v>
      </c>
      <c r="K521" s="3" t="s">
        <v>20</v>
      </c>
      <c r="L521" s="4">
        <v>4</v>
      </c>
      <c r="M521" s="3">
        <v>530</v>
      </c>
      <c r="N521" s="3">
        <v>840</v>
      </c>
      <c r="O521" s="15">
        <f>Bike_Sales[[#This Row],[Order_Quantity]]*Bike_Sales[[#This Row],[Unit_Price]]</f>
        <v>3360</v>
      </c>
      <c r="P521" s="15">
        <f>Bike_Sales[[#This Row],[Order_Quantity]]*Bike_Sales[[#This Row],[Unit_Cost]]</f>
        <v>2120</v>
      </c>
      <c r="Q521" s="15">
        <f>Bike_Sales[[#This Row],[Total Sales]]-Bike_Sales[[#This Row],[Total Cost]]</f>
        <v>1240</v>
      </c>
      <c r="R521" s="17">
        <f>Bike_Sales[[#This Row],[Profit]]/Bike_Sales[[#This Row],[Total Sales]]</f>
        <v>0.36904761904761907</v>
      </c>
      <c r="S521" s="16" t="str">
        <f t="shared" si="8"/>
        <v>35-44</v>
      </c>
    </row>
    <row r="522" spans="1:19" x14ac:dyDescent="0.35">
      <c r="A522" s="2">
        <v>44528</v>
      </c>
      <c r="B522" s="2" t="str">
        <f>TEXT(Bike_Sales[[#This Row],[Date]],"mmmm")</f>
        <v>November</v>
      </c>
      <c r="C522" s="19">
        <f>MONTH(Bike_Sales[[#This Row],[Date]])</f>
        <v>11</v>
      </c>
      <c r="D522" s="2" t="str">
        <f>TEXT(Bike_Sales[[#This Row],[Date]],"dddd")</f>
        <v>Sunday</v>
      </c>
      <c r="E522" s="3">
        <v>40</v>
      </c>
      <c r="F522" s="3" t="s">
        <v>135</v>
      </c>
      <c r="G522" s="3" t="s">
        <v>18</v>
      </c>
      <c r="H522" s="3" t="s">
        <v>19</v>
      </c>
      <c r="I522" s="3" t="s">
        <v>16</v>
      </c>
      <c r="J522" s="3" t="s">
        <v>101</v>
      </c>
      <c r="K522" s="3" t="s">
        <v>17</v>
      </c>
      <c r="L522" s="4">
        <v>2</v>
      </c>
      <c r="M522" s="3">
        <v>550</v>
      </c>
      <c r="N522" s="3">
        <v>850</v>
      </c>
      <c r="O522" s="15">
        <f>Bike_Sales[[#This Row],[Order_Quantity]]*Bike_Sales[[#This Row],[Unit_Price]]</f>
        <v>1700</v>
      </c>
      <c r="P522" s="15">
        <f>Bike_Sales[[#This Row],[Order_Quantity]]*Bike_Sales[[#This Row],[Unit_Cost]]</f>
        <v>1100</v>
      </c>
      <c r="Q522" s="15">
        <f>Bike_Sales[[#This Row],[Total Sales]]-Bike_Sales[[#This Row],[Total Cost]]</f>
        <v>600</v>
      </c>
      <c r="R522" s="17">
        <f>Bike_Sales[[#This Row],[Profit]]/Bike_Sales[[#This Row],[Total Sales]]</f>
        <v>0.35294117647058826</v>
      </c>
      <c r="S522" s="16" t="str">
        <f t="shared" si="8"/>
        <v>35-44</v>
      </c>
    </row>
    <row r="523" spans="1:19" x14ac:dyDescent="0.35">
      <c r="A523" s="2">
        <v>44538</v>
      </c>
      <c r="B523" s="2" t="str">
        <f>TEXT(Bike_Sales[[#This Row],[Date]],"mmmm")</f>
        <v>December</v>
      </c>
      <c r="C523" s="19">
        <f>MONTH(Bike_Sales[[#This Row],[Date]])</f>
        <v>12</v>
      </c>
      <c r="D523" s="2" t="str">
        <f>TEXT(Bike_Sales[[#This Row],[Date]],"dddd")</f>
        <v>Wednesday</v>
      </c>
      <c r="E523" s="3">
        <v>40</v>
      </c>
      <c r="F523" s="3" t="s">
        <v>126</v>
      </c>
      <c r="G523" s="3" t="s">
        <v>18</v>
      </c>
      <c r="H523" s="3" t="s">
        <v>24</v>
      </c>
      <c r="I523" s="3" t="s">
        <v>11</v>
      </c>
      <c r="J523" s="3" t="s">
        <v>102</v>
      </c>
      <c r="K523" s="3" t="s">
        <v>36</v>
      </c>
      <c r="L523" s="4">
        <v>4</v>
      </c>
      <c r="M523" s="3">
        <v>580</v>
      </c>
      <c r="N523" s="3">
        <v>920</v>
      </c>
      <c r="O523" s="15">
        <f>Bike_Sales[[#This Row],[Order_Quantity]]*Bike_Sales[[#This Row],[Unit_Price]]</f>
        <v>3680</v>
      </c>
      <c r="P523" s="15">
        <f>Bike_Sales[[#This Row],[Order_Quantity]]*Bike_Sales[[#This Row],[Unit_Cost]]</f>
        <v>2320</v>
      </c>
      <c r="Q523" s="15">
        <f>Bike_Sales[[#This Row],[Total Sales]]-Bike_Sales[[#This Row],[Total Cost]]</f>
        <v>1360</v>
      </c>
      <c r="R523" s="17">
        <f>Bike_Sales[[#This Row],[Profit]]/Bike_Sales[[#This Row],[Total Sales]]</f>
        <v>0.36956521739130432</v>
      </c>
      <c r="S523" s="16" t="str">
        <f t="shared" si="8"/>
        <v>35-44</v>
      </c>
    </row>
    <row r="524" spans="1:19" x14ac:dyDescent="0.35">
      <c r="A524" s="2">
        <v>44540</v>
      </c>
      <c r="B524" s="2" t="str">
        <f>TEXT(Bike_Sales[[#This Row],[Date]],"mmmm")</f>
        <v>December</v>
      </c>
      <c r="C524" s="19">
        <f>MONTH(Bike_Sales[[#This Row],[Date]])</f>
        <v>12</v>
      </c>
      <c r="D524" s="2" t="str">
        <f>TEXT(Bike_Sales[[#This Row],[Date]],"dddd")</f>
        <v>Friday</v>
      </c>
      <c r="E524" s="3">
        <v>40</v>
      </c>
      <c r="F524" s="3" t="s">
        <v>126</v>
      </c>
      <c r="G524" s="3" t="s">
        <v>18</v>
      </c>
      <c r="H524" s="3" t="s">
        <v>24</v>
      </c>
      <c r="I524" s="3" t="s">
        <v>16</v>
      </c>
      <c r="J524" s="3" t="s">
        <v>101</v>
      </c>
      <c r="K524" s="3" t="s">
        <v>25</v>
      </c>
      <c r="L524" s="4">
        <v>2</v>
      </c>
      <c r="M524" s="3">
        <v>550</v>
      </c>
      <c r="N524" s="3">
        <v>850</v>
      </c>
      <c r="O524" s="15">
        <f>Bike_Sales[[#This Row],[Order_Quantity]]*Bike_Sales[[#This Row],[Unit_Price]]</f>
        <v>1700</v>
      </c>
      <c r="P524" s="15">
        <f>Bike_Sales[[#This Row],[Order_Quantity]]*Bike_Sales[[#This Row],[Unit_Cost]]</f>
        <v>1100</v>
      </c>
      <c r="Q524" s="15">
        <f>Bike_Sales[[#This Row],[Total Sales]]-Bike_Sales[[#This Row],[Total Cost]]</f>
        <v>600</v>
      </c>
      <c r="R524" s="17">
        <f>Bike_Sales[[#This Row],[Profit]]/Bike_Sales[[#This Row],[Total Sales]]</f>
        <v>0.35294117647058826</v>
      </c>
      <c r="S524" s="16" t="str">
        <f t="shared" si="8"/>
        <v>35-44</v>
      </c>
    </row>
    <row r="525" spans="1:19" x14ac:dyDescent="0.35">
      <c r="A525" s="2">
        <v>44543</v>
      </c>
      <c r="B525" s="2" t="str">
        <f>TEXT(Bike_Sales[[#This Row],[Date]],"mmmm")</f>
        <v>December</v>
      </c>
      <c r="C525" s="19">
        <f>MONTH(Bike_Sales[[#This Row],[Date]])</f>
        <v>12</v>
      </c>
      <c r="D525" s="2" t="str">
        <f>TEXT(Bike_Sales[[#This Row],[Date]],"dddd")</f>
        <v>Monday</v>
      </c>
      <c r="E525" s="3">
        <v>40</v>
      </c>
      <c r="F525" s="3" t="s">
        <v>135</v>
      </c>
      <c r="G525" s="3" t="s">
        <v>9</v>
      </c>
      <c r="H525" s="3" t="s">
        <v>10</v>
      </c>
      <c r="I525" s="3" t="s">
        <v>16</v>
      </c>
      <c r="J525" s="3" t="s">
        <v>103</v>
      </c>
      <c r="K525" s="3" t="s">
        <v>64</v>
      </c>
      <c r="L525" s="4">
        <v>1</v>
      </c>
      <c r="M525" s="3">
        <v>480</v>
      </c>
      <c r="N525" s="3">
        <v>760</v>
      </c>
      <c r="O525" s="15">
        <f>Bike_Sales[[#This Row],[Order_Quantity]]*Bike_Sales[[#This Row],[Unit_Price]]</f>
        <v>760</v>
      </c>
      <c r="P525" s="15">
        <f>Bike_Sales[[#This Row],[Order_Quantity]]*Bike_Sales[[#This Row],[Unit_Cost]]</f>
        <v>480</v>
      </c>
      <c r="Q525" s="15">
        <f>Bike_Sales[[#This Row],[Total Sales]]-Bike_Sales[[#This Row],[Total Cost]]</f>
        <v>280</v>
      </c>
      <c r="R525" s="17">
        <f>Bike_Sales[[#This Row],[Profit]]/Bike_Sales[[#This Row],[Total Sales]]</f>
        <v>0.36842105263157893</v>
      </c>
      <c r="S525" s="16" t="str">
        <f t="shared" si="8"/>
        <v>35-44</v>
      </c>
    </row>
    <row r="526" spans="1:19" x14ac:dyDescent="0.35">
      <c r="A526" s="2">
        <v>44544</v>
      </c>
      <c r="B526" s="2" t="str">
        <f>TEXT(Bike_Sales[[#This Row],[Date]],"mmmm")</f>
        <v>December</v>
      </c>
      <c r="C526" s="19">
        <f>MONTH(Bike_Sales[[#This Row],[Date]])</f>
        <v>12</v>
      </c>
      <c r="D526" s="2" t="str">
        <f>TEXT(Bike_Sales[[#This Row],[Date]],"dddd")</f>
        <v>Tuesday</v>
      </c>
      <c r="E526" s="3">
        <v>40</v>
      </c>
      <c r="F526" s="3" t="s">
        <v>135</v>
      </c>
      <c r="G526" s="3" t="s">
        <v>33</v>
      </c>
      <c r="H526" s="3" t="s">
        <v>73</v>
      </c>
      <c r="I526" s="3" t="s">
        <v>11</v>
      </c>
      <c r="J526" s="3" t="s">
        <v>102</v>
      </c>
      <c r="K526" s="3" t="s">
        <v>66</v>
      </c>
      <c r="L526" s="4">
        <v>1</v>
      </c>
      <c r="M526" s="3">
        <v>900</v>
      </c>
      <c r="N526" s="3">
        <v>1400</v>
      </c>
      <c r="O526" s="15">
        <f>Bike_Sales[[#This Row],[Order_Quantity]]*Bike_Sales[[#This Row],[Unit_Price]]</f>
        <v>1400</v>
      </c>
      <c r="P526" s="15">
        <f>Bike_Sales[[#This Row],[Order_Quantity]]*Bike_Sales[[#This Row],[Unit_Cost]]</f>
        <v>900</v>
      </c>
      <c r="Q526" s="15">
        <f>Bike_Sales[[#This Row],[Total Sales]]-Bike_Sales[[#This Row],[Total Cost]]</f>
        <v>500</v>
      </c>
      <c r="R526" s="17">
        <f>Bike_Sales[[#This Row],[Profit]]/Bike_Sales[[#This Row],[Total Sales]]</f>
        <v>0.35714285714285715</v>
      </c>
      <c r="S526" s="16" t="str">
        <f t="shared" si="8"/>
        <v>35-44</v>
      </c>
    </row>
    <row r="527" spans="1:19" x14ac:dyDescent="0.35">
      <c r="A527" s="2">
        <v>44547</v>
      </c>
      <c r="B527" s="2" t="str">
        <f>TEXT(Bike_Sales[[#This Row],[Date]],"mmmm")</f>
        <v>December</v>
      </c>
      <c r="C527" s="19">
        <f>MONTH(Bike_Sales[[#This Row],[Date]])</f>
        <v>12</v>
      </c>
      <c r="D527" s="2" t="str">
        <f>TEXT(Bike_Sales[[#This Row],[Date]],"dddd")</f>
        <v>Friday</v>
      </c>
      <c r="E527" s="3">
        <v>40</v>
      </c>
      <c r="F527" s="3" t="s">
        <v>135</v>
      </c>
      <c r="G527" s="3" t="s">
        <v>9</v>
      </c>
      <c r="H527" s="3" t="s">
        <v>10</v>
      </c>
      <c r="I527" s="3" t="s">
        <v>11</v>
      </c>
      <c r="J527" s="3" t="s">
        <v>101</v>
      </c>
      <c r="K527" s="3" t="s">
        <v>41</v>
      </c>
      <c r="L527" s="4">
        <v>1</v>
      </c>
      <c r="M527" s="3">
        <v>580</v>
      </c>
      <c r="N527" s="3">
        <v>920</v>
      </c>
      <c r="O527" s="15">
        <f>Bike_Sales[[#This Row],[Order_Quantity]]*Bike_Sales[[#This Row],[Unit_Price]]</f>
        <v>920</v>
      </c>
      <c r="P527" s="15">
        <f>Bike_Sales[[#This Row],[Order_Quantity]]*Bike_Sales[[#This Row],[Unit_Cost]]</f>
        <v>580</v>
      </c>
      <c r="Q527" s="15">
        <f>Bike_Sales[[#This Row],[Total Sales]]-Bike_Sales[[#This Row],[Total Cost]]</f>
        <v>340</v>
      </c>
      <c r="R527" s="17">
        <f>Bike_Sales[[#This Row],[Profit]]/Bike_Sales[[#This Row],[Total Sales]]</f>
        <v>0.36956521739130432</v>
      </c>
      <c r="S527" s="16" t="str">
        <f t="shared" si="8"/>
        <v>35-44</v>
      </c>
    </row>
    <row r="528" spans="1:19" x14ac:dyDescent="0.35">
      <c r="A528" s="2">
        <v>44552</v>
      </c>
      <c r="B528" s="2" t="str">
        <f>TEXT(Bike_Sales[[#This Row],[Date]],"mmmm")</f>
        <v>December</v>
      </c>
      <c r="C528" s="19">
        <f>MONTH(Bike_Sales[[#This Row],[Date]])</f>
        <v>12</v>
      </c>
      <c r="D528" s="2" t="str">
        <f>TEXT(Bike_Sales[[#This Row],[Date]],"dddd")</f>
        <v>Wednesday</v>
      </c>
      <c r="E528" s="3">
        <v>40</v>
      </c>
      <c r="F528" s="3" t="s">
        <v>135</v>
      </c>
      <c r="G528" s="3" t="s">
        <v>129</v>
      </c>
      <c r="H528" s="3" t="s">
        <v>15</v>
      </c>
      <c r="I528" s="3" t="s">
        <v>11</v>
      </c>
      <c r="J528" s="3" t="s">
        <v>101</v>
      </c>
      <c r="K528" s="3" t="s">
        <v>60</v>
      </c>
      <c r="L528" s="4">
        <v>3</v>
      </c>
      <c r="M528" s="3">
        <v>700</v>
      </c>
      <c r="N528" s="3">
        <v>1100</v>
      </c>
      <c r="O528" s="15">
        <f>Bike_Sales[[#This Row],[Order_Quantity]]*Bike_Sales[[#This Row],[Unit_Price]]</f>
        <v>3300</v>
      </c>
      <c r="P528" s="15">
        <f>Bike_Sales[[#This Row],[Order_Quantity]]*Bike_Sales[[#This Row],[Unit_Cost]]</f>
        <v>2100</v>
      </c>
      <c r="Q528" s="15">
        <f>Bike_Sales[[#This Row],[Total Sales]]-Bike_Sales[[#This Row],[Total Cost]]</f>
        <v>1200</v>
      </c>
      <c r="R528" s="17">
        <f>Bike_Sales[[#This Row],[Profit]]/Bike_Sales[[#This Row],[Total Sales]]</f>
        <v>0.36363636363636365</v>
      </c>
      <c r="S528" s="16" t="str">
        <f t="shared" si="8"/>
        <v>35-44</v>
      </c>
    </row>
    <row r="529" spans="1:19" x14ac:dyDescent="0.35">
      <c r="A529" s="2">
        <v>44554</v>
      </c>
      <c r="B529" s="2" t="str">
        <f>TEXT(Bike_Sales[[#This Row],[Date]],"mmmm")</f>
        <v>December</v>
      </c>
      <c r="C529" s="19">
        <f>MONTH(Bike_Sales[[#This Row],[Date]])</f>
        <v>12</v>
      </c>
      <c r="D529" s="2" t="str">
        <f>TEXT(Bike_Sales[[#This Row],[Date]],"dddd")</f>
        <v>Friday</v>
      </c>
      <c r="E529" s="3">
        <v>40</v>
      </c>
      <c r="F529" s="3" t="s">
        <v>135</v>
      </c>
      <c r="G529" s="3" t="s">
        <v>33</v>
      </c>
      <c r="H529" s="3" t="s">
        <v>73</v>
      </c>
      <c r="I529" s="3" t="s">
        <v>16</v>
      </c>
      <c r="J529" s="3" t="s">
        <v>101</v>
      </c>
      <c r="K529" s="3" t="s">
        <v>49</v>
      </c>
      <c r="L529" s="4">
        <v>1</v>
      </c>
      <c r="M529" s="3">
        <v>550</v>
      </c>
      <c r="N529" s="3">
        <v>850</v>
      </c>
      <c r="O529" s="15">
        <f>Bike_Sales[[#This Row],[Order_Quantity]]*Bike_Sales[[#This Row],[Unit_Price]]</f>
        <v>850</v>
      </c>
      <c r="P529" s="15">
        <f>Bike_Sales[[#This Row],[Order_Quantity]]*Bike_Sales[[#This Row],[Unit_Cost]]</f>
        <v>550</v>
      </c>
      <c r="Q529" s="15">
        <f>Bike_Sales[[#This Row],[Total Sales]]-Bike_Sales[[#This Row],[Total Cost]]</f>
        <v>300</v>
      </c>
      <c r="R529" s="17">
        <f>Bike_Sales[[#This Row],[Profit]]/Bike_Sales[[#This Row],[Total Sales]]</f>
        <v>0.35294117647058826</v>
      </c>
      <c r="S529" s="16" t="str">
        <f t="shared" si="8"/>
        <v>35-44</v>
      </c>
    </row>
    <row r="530" spans="1:19" x14ac:dyDescent="0.35">
      <c r="A530" s="2">
        <v>44476</v>
      </c>
      <c r="B530" s="2" t="str">
        <f>TEXT(Bike_Sales[[#This Row],[Date]],"mmmm")</f>
        <v>October</v>
      </c>
      <c r="C530" s="19">
        <f>MONTH(Bike_Sales[[#This Row],[Date]])</f>
        <v>10</v>
      </c>
      <c r="D530" s="2" t="str">
        <f>TEXT(Bike_Sales[[#This Row],[Date]],"dddd")</f>
        <v>Thursday</v>
      </c>
      <c r="E530" s="3">
        <v>41</v>
      </c>
      <c r="F530" s="3" t="s">
        <v>126</v>
      </c>
      <c r="G530" s="3" t="s">
        <v>18</v>
      </c>
      <c r="H530" s="3" t="s">
        <v>19</v>
      </c>
      <c r="I530" s="3" t="s">
        <v>11</v>
      </c>
      <c r="J530" s="3" t="s">
        <v>101</v>
      </c>
      <c r="K530" s="3" t="s">
        <v>54</v>
      </c>
      <c r="L530" s="4">
        <v>1</v>
      </c>
      <c r="M530" s="3">
        <v>580</v>
      </c>
      <c r="N530" s="3">
        <v>920</v>
      </c>
      <c r="O530" s="15">
        <f>Bike_Sales[[#This Row],[Order_Quantity]]*Bike_Sales[[#This Row],[Unit_Price]]</f>
        <v>920</v>
      </c>
      <c r="P530" s="15">
        <f>Bike_Sales[[#This Row],[Order_Quantity]]*Bike_Sales[[#This Row],[Unit_Cost]]</f>
        <v>580</v>
      </c>
      <c r="Q530" s="15">
        <f>Bike_Sales[[#This Row],[Total Sales]]-Bike_Sales[[#This Row],[Total Cost]]</f>
        <v>340</v>
      </c>
      <c r="R530" s="17">
        <f>Bike_Sales[[#This Row],[Profit]]/Bike_Sales[[#This Row],[Total Sales]]</f>
        <v>0.36956521739130432</v>
      </c>
      <c r="S530" s="16" t="str">
        <f t="shared" si="8"/>
        <v>35-44</v>
      </c>
    </row>
    <row r="531" spans="1:19" x14ac:dyDescent="0.35">
      <c r="A531" s="2">
        <v>44477</v>
      </c>
      <c r="B531" s="2" t="str">
        <f>TEXT(Bike_Sales[[#This Row],[Date]],"mmmm")</f>
        <v>October</v>
      </c>
      <c r="C531" s="19">
        <f>MONTH(Bike_Sales[[#This Row],[Date]])</f>
        <v>10</v>
      </c>
      <c r="D531" s="2" t="str">
        <f>TEXT(Bike_Sales[[#This Row],[Date]],"dddd")</f>
        <v>Friday</v>
      </c>
      <c r="E531" s="3">
        <v>41</v>
      </c>
      <c r="F531" s="3" t="s">
        <v>135</v>
      </c>
      <c r="G531" s="3" t="s">
        <v>18</v>
      </c>
      <c r="H531" s="3" t="s">
        <v>24</v>
      </c>
      <c r="I531" s="3" t="s">
        <v>16</v>
      </c>
      <c r="J531" s="3" t="s">
        <v>103</v>
      </c>
      <c r="K531" s="3" t="s">
        <v>55</v>
      </c>
      <c r="L531" s="4">
        <v>4</v>
      </c>
      <c r="M531" s="3">
        <v>450</v>
      </c>
      <c r="N531" s="3">
        <v>720</v>
      </c>
      <c r="O531" s="15">
        <f>Bike_Sales[[#This Row],[Order_Quantity]]*Bike_Sales[[#This Row],[Unit_Price]]</f>
        <v>2880</v>
      </c>
      <c r="P531" s="15">
        <f>Bike_Sales[[#This Row],[Order_Quantity]]*Bike_Sales[[#This Row],[Unit_Cost]]</f>
        <v>1800</v>
      </c>
      <c r="Q531" s="15">
        <f>Bike_Sales[[#This Row],[Total Sales]]-Bike_Sales[[#This Row],[Total Cost]]</f>
        <v>1080</v>
      </c>
      <c r="R531" s="17">
        <f>Bike_Sales[[#This Row],[Profit]]/Bike_Sales[[#This Row],[Total Sales]]</f>
        <v>0.375</v>
      </c>
      <c r="S531" s="16" t="str">
        <f t="shared" si="8"/>
        <v>35-44</v>
      </c>
    </row>
    <row r="532" spans="1:19" x14ac:dyDescent="0.35">
      <c r="A532" s="2">
        <v>44477</v>
      </c>
      <c r="B532" s="2" t="str">
        <f>TEXT(Bike_Sales[[#This Row],[Date]],"mmmm")</f>
        <v>October</v>
      </c>
      <c r="C532" s="19">
        <f>MONTH(Bike_Sales[[#This Row],[Date]])</f>
        <v>10</v>
      </c>
      <c r="D532" s="2" t="str">
        <f>TEXT(Bike_Sales[[#This Row],[Date]],"dddd")</f>
        <v>Friday</v>
      </c>
      <c r="E532" s="3">
        <v>41</v>
      </c>
      <c r="F532" s="3" t="s">
        <v>126</v>
      </c>
      <c r="G532" s="3" t="s">
        <v>18</v>
      </c>
      <c r="H532" s="3" t="s">
        <v>21</v>
      </c>
      <c r="I532" s="3" t="s">
        <v>11</v>
      </c>
      <c r="J532" s="3" t="s">
        <v>101</v>
      </c>
      <c r="K532" s="3" t="s">
        <v>54</v>
      </c>
      <c r="L532" s="4">
        <v>3</v>
      </c>
      <c r="M532" s="3">
        <v>580</v>
      </c>
      <c r="N532" s="3">
        <v>920</v>
      </c>
      <c r="O532" s="15">
        <f>Bike_Sales[[#This Row],[Order_Quantity]]*Bike_Sales[[#This Row],[Unit_Price]]</f>
        <v>2760</v>
      </c>
      <c r="P532" s="15">
        <f>Bike_Sales[[#This Row],[Order_Quantity]]*Bike_Sales[[#This Row],[Unit_Cost]]</f>
        <v>1740</v>
      </c>
      <c r="Q532" s="15">
        <f>Bike_Sales[[#This Row],[Total Sales]]-Bike_Sales[[#This Row],[Total Cost]]</f>
        <v>1020</v>
      </c>
      <c r="R532" s="17">
        <f>Bike_Sales[[#This Row],[Profit]]/Bike_Sales[[#This Row],[Total Sales]]</f>
        <v>0.36956521739130432</v>
      </c>
      <c r="S532" s="16" t="str">
        <f t="shared" si="8"/>
        <v>35-44</v>
      </c>
    </row>
    <row r="533" spans="1:19" x14ac:dyDescent="0.35">
      <c r="A533" s="2">
        <v>44481</v>
      </c>
      <c r="B533" s="2" t="str">
        <f>TEXT(Bike_Sales[[#This Row],[Date]],"mmmm")</f>
        <v>October</v>
      </c>
      <c r="C533" s="19">
        <f>MONTH(Bike_Sales[[#This Row],[Date]])</f>
        <v>10</v>
      </c>
      <c r="D533" s="2" t="str">
        <f>TEXT(Bike_Sales[[#This Row],[Date]],"dddd")</f>
        <v>Tuesday</v>
      </c>
      <c r="E533" s="3">
        <v>41</v>
      </c>
      <c r="F533" s="3" t="s">
        <v>126</v>
      </c>
      <c r="G533" s="3" t="s">
        <v>18</v>
      </c>
      <c r="H533" s="3" t="s">
        <v>24</v>
      </c>
      <c r="I533" s="3" t="s">
        <v>11</v>
      </c>
      <c r="J533" s="3" t="s">
        <v>101</v>
      </c>
      <c r="K533" s="3" t="s">
        <v>32</v>
      </c>
      <c r="L533" s="4">
        <v>4</v>
      </c>
      <c r="M533" s="3">
        <v>700</v>
      </c>
      <c r="N533" s="3">
        <v>1100</v>
      </c>
      <c r="O533" s="15">
        <f>Bike_Sales[[#This Row],[Order_Quantity]]*Bike_Sales[[#This Row],[Unit_Price]]</f>
        <v>4400</v>
      </c>
      <c r="P533" s="15">
        <f>Bike_Sales[[#This Row],[Order_Quantity]]*Bike_Sales[[#This Row],[Unit_Cost]]</f>
        <v>2800</v>
      </c>
      <c r="Q533" s="15">
        <f>Bike_Sales[[#This Row],[Total Sales]]-Bike_Sales[[#This Row],[Total Cost]]</f>
        <v>1600</v>
      </c>
      <c r="R533" s="17">
        <f>Bike_Sales[[#This Row],[Profit]]/Bike_Sales[[#This Row],[Total Sales]]</f>
        <v>0.36363636363636365</v>
      </c>
      <c r="S533" s="16" t="str">
        <f t="shared" si="8"/>
        <v>35-44</v>
      </c>
    </row>
    <row r="534" spans="1:19" x14ac:dyDescent="0.35">
      <c r="A534" s="2">
        <v>44481</v>
      </c>
      <c r="B534" s="2" t="str">
        <f>TEXT(Bike_Sales[[#This Row],[Date]],"mmmm")</f>
        <v>October</v>
      </c>
      <c r="C534" s="19">
        <f>MONTH(Bike_Sales[[#This Row],[Date]])</f>
        <v>10</v>
      </c>
      <c r="D534" s="2" t="str">
        <f>TEXT(Bike_Sales[[#This Row],[Date]],"dddd")</f>
        <v>Tuesday</v>
      </c>
      <c r="E534" s="3">
        <v>41</v>
      </c>
      <c r="F534" s="3" t="s">
        <v>126</v>
      </c>
      <c r="G534" s="3" t="s">
        <v>33</v>
      </c>
      <c r="H534" s="3" t="s">
        <v>61</v>
      </c>
      <c r="I534" s="3" t="s">
        <v>11</v>
      </c>
      <c r="J534" s="3" t="s">
        <v>101</v>
      </c>
      <c r="K534" s="3" t="s">
        <v>65</v>
      </c>
      <c r="L534" s="4">
        <v>2</v>
      </c>
      <c r="M534" s="3">
        <v>620</v>
      </c>
      <c r="N534" s="3">
        <v>980</v>
      </c>
      <c r="O534" s="15">
        <f>Bike_Sales[[#This Row],[Order_Quantity]]*Bike_Sales[[#This Row],[Unit_Price]]</f>
        <v>1960</v>
      </c>
      <c r="P534" s="15">
        <f>Bike_Sales[[#This Row],[Order_Quantity]]*Bike_Sales[[#This Row],[Unit_Cost]]</f>
        <v>1240</v>
      </c>
      <c r="Q534" s="15">
        <f>Bike_Sales[[#This Row],[Total Sales]]-Bike_Sales[[#This Row],[Total Cost]]</f>
        <v>720</v>
      </c>
      <c r="R534" s="17">
        <f>Bike_Sales[[#This Row],[Profit]]/Bike_Sales[[#This Row],[Total Sales]]</f>
        <v>0.36734693877551022</v>
      </c>
      <c r="S534" s="16" t="str">
        <f t="shared" si="8"/>
        <v>35-44</v>
      </c>
    </row>
    <row r="535" spans="1:19" x14ac:dyDescent="0.35">
      <c r="A535" s="2">
        <v>44484</v>
      </c>
      <c r="B535" s="2" t="str">
        <f>TEXT(Bike_Sales[[#This Row],[Date]],"mmmm")</f>
        <v>October</v>
      </c>
      <c r="C535" s="19">
        <f>MONTH(Bike_Sales[[#This Row],[Date]])</f>
        <v>10</v>
      </c>
      <c r="D535" s="2" t="str">
        <f>TEXT(Bike_Sales[[#This Row],[Date]],"dddd")</f>
        <v>Friday</v>
      </c>
      <c r="E535" s="3">
        <v>41</v>
      </c>
      <c r="F535" s="3" t="s">
        <v>126</v>
      </c>
      <c r="G535" s="3" t="s">
        <v>18</v>
      </c>
      <c r="H535" s="3" t="s">
        <v>19</v>
      </c>
      <c r="I535" s="3" t="s">
        <v>11</v>
      </c>
      <c r="J535" s="3" t="s">
        <v>101</v>
      </c>
      <c r="K535" s="3" t="s">
        <v>54</v>
      </c>
      <c r="L535" s="4">
        <v>4</v>
      </c>
      <c r="M535" s="3">
        <v>580</v>
      </c>
      <c r="N535" s="3">
        <v>920</v>
      </c>
      <c r="O535" s="15">
        <f>Bike_Sales[[#This Row],[Order_Quantity]]*Bike_Sales[[#This Row],[Unit_Price]]</f>
        <v>3680</v>
      </c>
      <c r="P535" s="15">
        <f>Bike_Sales[[#This Row],[Order_Quantity]]*Bike_Sales[[#This Row],[Unit_Cost]]</f>
        <v>2320</v>
      </c>
      <c r="Q535" s="15">
        <f>Bike_Sales[[#This Row],[Total Sales]]-Bike_Sales[[#This Row],[Total Cost]]</f>
        <v>1360</v>
      </c>
      <c r="R535" s="17">
        <f>Bike_Sales[[#This Row],[Profit]]/Bike_Sales[[#This Row],[Total Sales]]</f>
        <v>0.36956521739130432</v>
      </c>
      <c r="S535" s="16" t="str">
        <f t="shared" si="8"/>
        <v>35-44</v>
      </c>
    </row>
    <row r="536" spans="1:19" x14ac:dyDescent="0.35">
      <c r="A536" s="2">
        <v>44488</v>
      </c>
      <c r="B536" s="2" t="str">
        <f>TEXT(Bike_Sales[[#This Row],[Date]],"mmmm")</f>
        <v>October</v>
      </c>
      <c r="C536" s="19">
        <f>MONTH(Bike_Sales[[#This Row],[Date]])</f>
        <v>10</v>
      </c>
      <c r="D536" s="2" t="str">
        <f>TEXT(Bike_Sales[[#This Row],[Date]],"dddd")</f>
        <v>Tuesday</v>
      </c>
      <c r="E536" s="3">
        <v>41</v>
      </c>
      <c r="F536" s="3" t="s">
        <v>135</v>
      </c>
      <c r="G536" s="3" t="s">
        <v>13</v>
      </c>
      <c r="H536" s="3" t="s">
        <v>127</v>
      </c>
      <c r="I536" s="3" t="s">
        <v>16</v>
      </c>
      <c r="J536" s="3" t="s">
        <v>101</v>
      </c>
      <c r="K536" s="3" t="s">
        <v>17</v>
      </c>
      <c r="L536" s="4">
        <v>2</v>
      </c>
      <c r="M536" s="3">
        <v>550</v>
      </c>
      <c r="N536" s="3">
        <v>850</v>
      </c>
      <c r="O536" s="15">
        <f>Bike_Sales[[#This Row],[Order_Quantity]]*Bike_Sales[[#This Row],[Unit_Price]]</f>
        <v>1700</v>
      </c>
      <c r="P536" s="15">
        <f>Bike_Sales[[#This Row],[Order_Quantity]]*Bike_Sales[[#This Row],[Unit_Cost]]</f>
        <v>1100</v>
      </c>
      <c r="Q536" s="15">
        <f>Bike_Sales[[#This Row],[Total Sales]]-Bike_Sales[[#This Row],[Total Cost]]</f>
        <v>600</v>
      </c>
      <c r="R536" s="17">
        <f>Bike_Sales[[#This Row],[Profit]]/Bike_Sales[[#This Row],[Total Sales]]</f>
        <v>0.35294117647058826</v>
      </c>
      <c r="S536" s="16" t="str">
        <f t="shared" si="8"/>
        <v>35-44</v>
      </c>
    </row>
    <row r="537" spans="1:19" x14ac:dyDescent="0.35">
      <c r="A537" s="2">
        <v>44488</v>
      </c>
      <c r="B537" s="2" t="str">
        <f>TEXT(Bike_Sales[[#This Row],[Date]],"mmmm")</f>
        <v>October</v>
      </c>
      <c r="C537" s="19">
        <f>MONTH(Bike_Sales[[#This Row],[Date]])</f>
        <v>10</v>
      </c>
      <c r="D537" s="2" t="str">
        <f>TEXT(Bike_Sales[[#This Row],[Date]],"dddd")</f>
        <v>Tuesday</v>
      </c>
      <c r="E537" s="3">
        <v>41</v>
      </c>
      <c r="F537" s="3" t="s">
        <v>126</v>
      </c>
      <c r="G537" s="3" t="s">
        <v>18</v>
      </c>
      <c r="H537" s="3" t="s">
        <v>35</v>
      </c>
      <c r="I537" s="3" t="s">
        <v>11</v>
      </c>
      <c r="J537" s="3" t="s">
        <v>102</v>
      </c>
      <c r="K537" s="3" t="s">
        <v>36</v>
      </c>
      <c r="L537" s="4">
        <v>1</v>
      </c>
      <c r="M537" s="3">
        <v>580</v>
      </c>
      <c r="N537" s="3">
        <v>920</v>
      </c>
      <c r="O537" s="15">
        <f>Bike_Sales[[#This Row],[Order_Quantity]]*Bike_Sales[[#This Row],[Unit_Price]]</f>
        <v>920</v>
      </c>
      <c r="P537" s="15">
        <f>Bike_Sales[[#This Row],[Order_Quantity]]*Bike_Sales[[#This Row],[Unit_Cost]]</f>
        <v>580</v>
      </c>
      <c r="Q537" s="15">
        <f>Bike_Sales[[#This Row],[Total Sales]]-Bike_Sales[[#This Row],[Total Cost]]</f>
        <v>340</v>
      </c>
      <c r="R537" s="17">
        <f>Bike_Sales[[#This Row],[Profit]]/Bike_Sales[[#This Row],[Total Sales]]</f>
        <v>0.36956521739130432</v>
      </c>
      <c r="S537" s="16" t="str">
        <f t="shared" si="8"/>
        <v>35-44</v>
      </c>
    </row>
    <row r="538" spans="1:19" x14ac:dyDescent="0.35">
      <c r="A538" s="2">
        <v>44493</v>
      </c>
      <c r="B538" s="2" t="str">
        <f>TEXT(Bike_Sales[[#This Row],[Date]],"mmmm")</f>
        <v>October</v>
      </c>
      <c r="C538" s="19">
        <f>MONTH(Bike_Sales[[#This Row],[Date]])</f>
        <v>10</v>
      </c>
      <c r="D538" s="2" t="str">
        <f>TEXT(Bike_Sales[[#This Row],[Date]],"dddd")</f>
        <v>Sunday</v>
      </c>
      <c r="E538" s="3">
        <v>41</v>
      </c>
      <c r="F538" s="3" t="s">
        <v>135</v>
      </c>
      <c r="G538" s="3" t="s">
        <v>13</v>
      </c>
      <c r="H538" s="3" t="s">
        <v>127</v>
      </c>
      <c r="I538" s="3" t="s">
        <v>16</v>
      </c>
      <c r="J538" s="3" t="s">
        <v>101</v>
      </c>
      <c r="K538" s="3" t="s">
        <v>17</v>
      </c>
      <c r="L538" s="4">
        <v>2</v>
      </c>
      <c r="M538" s="3">
        <v>550</v>
      </c>
      <c r="N538" s="3">
        <v>850</v>
      </c>
      <c r="O538" s="15">
        <f>Bike_Sales[[#This Row],[Order_Quantity]]*Bike_Sales[[#This Row],[Unit_Price]]</f>
        <v>1700</v>
      </c>
      <c r="P538" s="15">
        <f>Bike_Sales[[#This Row],[Order_Quantity]]*Bike_Sales[[#This Row],[Unit_Cost]]</f>
        <v>1100</v>
      </c>
      <c r="Q538" s="15">
        <f>Bike_Sales[[#This Row],[Total Sales]]-Bike_Sales[[#This Row],[Total Cost]]</f>
        <v>600</v>
      </c>
      <c r="R538" s="17">
        <f>Bike_Sales[[#This Row],[Profit]]/Bike_Sales[[#This Row],[Total Sales]]</f>
        <v>0.35294117647058826</v>
      </c>
      <c r="S538" s="16" t="str">
        <f t="shared" si="8"/>
        <v>35-44</v>
      </c>
    </row>
    <row r="539" spans="1:19" x14ac:dyDescent="0.35">
      <c r="A539" s="2">
        <v>44493</v>
      </c>
      <c r="B539" s="2" t="str">
        <f>TEXT(Bike_Sales[[#This Row],[Date]],"mmmm")</f>
        <v>October</v>
      </c>
      <c r="C539" s="19">
        <f>MONTH(Bike_Sales[[#This Row],[Date]])</f>
        <v>10</v>
      </c>
      <c r="D539" s="2" t="str">
        <f>TEXT(Bike_Sales[[#This Row],[Date]],"dddd")</f>
        <v>Sunday</v>
      </c>
      <c r="E539" s="3">
        <v>41</v>
      </c>
      <c r="F539" s="3" t="s">
        <v>126</v>
      </c>
      <c r="G539" s="3" t="s">
        <v>18</v>
      </c>
      <c r="H539" s="3" t="s">
        <v>24</v>
      </c>
      <c r="I539" s="3" t="s">
        <v>16</v>
      </c>
      <c r="J539" s="3" t="s">
        <v>103</v>
      </c>
      <c r="K539" s="3" t="s">
        <v>50</v>
      </c>
      <c r="L539" s="4">
        <v>2</v>
      </c>
      <c r="M539" s="3">
        <v>550</v>
      </c>
      <c r="N539" s="3">
        <v>850</v>
      </c>
      <c r="O539" s="15">
        <f>Bike_Sales[[#This Row],[Order_Quantity]]*Bike_Sales[[#This Row],[Unit_Price]]</f>
        <v>1700</v>
      </c>
      <c r="P539" s="15">
        <f>Bike_Sales[[#This Row],[Order_Quantity]]*Bike_Sales[[#This Row],[Unit_Cost]]</f>
        <v>1100</v>
      </c>
      <c r="Q539" s="15">
        <f>Bike_Sales[[#This Row],[Total Sales]]-Bike_Sales[[#This Row],[Total Cost]]</f>
        <v>600</v>
      </c>
      <c r="R539" s="17">
        <f>Bike_Sales[[#This Row],[Profit]]/Bike_Sales[[#This Row],[Total Sales]]</f>
        <v>0.35294117647058826</v>
      </c>
      <c r="S539" s="16" t="str">
        <f t="shared" si="8"/>
        <v>35-44</v>
      </c>
    </row>
    <row r="540" spans="1:19" x14ac:dyDescent="0.35">
      <c r="A540" s="2">
        <v>44494</v>
      </c>
      <c r="B540" s="2" t="str">
        <f>TEXT(Bike_Sales[[#This Row],[Date]],"mmmm")</f>
        <v>October</v>
      </c>
      <c r="C540" s="19">
        <f>MONTH(Bike_Sales[[#This Row],[Date]])</f>
        <v>10</v>
      </c>
      <c r="D540" s="2" t="str">
        <f>TEXT(Bike_Sales[[#This Row],[Date]],"dddd")</f>
        <v>Monday</v>
      </c>
      <c r="E540" s="3">
        <v>41</v>
      </c>
      <c r="F540" s="3" t="s">
        <v>126</v>
      </c>
      <c r="G540" s="3" t="s">
        <v>33</v>
      </c>
      <c r="H540" s="3" t="s">
        <v>136</v>
      </c>
      <c r="I540" s="3" t="s">
        <v>11</v>
      </c>
      <c r="J540" s="3" t="s">
        <v>104</v>
      </c>
      <c r="K540" s="3" t="s">
        <v>12</v>
      </c>
      <c r="L540" s="4">
        <v>2</v>
      </c>
      <c r="M540" s="3">
        <v>500</v>
      </c>
      <c r="N540" s="3">
        <v>800</v>
      </c>
      <c r="O540" s="15">
        <f>Bike_Sales[[#This Row],[Order_Quantity]]*Bike_Sales[[#This Row],[Unit_Price]]</f>
        <v>1600</v>
      </c>
      <c r="P540" s="15">
        <f>Bike_Sales[[#This Row],[Order_Quantity]]*Bike_Sales[[#This Row],[Unit_Cost]]</f>
        <v>1000</v>
      </c>
      <c r="Q540" s="15">
        <f>Bike_Sales[[#This Row],[Total Sales]]-Bike_Sales[[#This Row],[Total Cost]]</f>
        <v>600</v>
      </c>
      <c r="R540" s="17">
        <f>Bike_Sales[[#This Row],[Profit]]/Bike_Sales[[#This Row],[Total Sales]]</f>
        <v>0.375</v>
      </c>
      <c r="S540" s="16" t="str">
        <f t="shared" si="8"/>
        <v>35-44</v>
      </c>
    </row>
    <row r="541" spans="1:19" x14ac:dyDescent="0.35">
      <c r="A541" s="2">
        <v>44502</v>
      </c>
      <c r="B541" s="2" t="str">
        <f>TEXT(Bike_Sales[[#This Row],[Date]],"mmmm")</f>
        <v>November</v>
      </c>
      <c r="C541" s="19">
        <f>MONTH(Bike_Sales[[#This Row],[Date]])</f>
        <v>11</v>
      </c>
      <c r="D541" s="2" t="str">
        <f>TEXT(Bike_Sales[[#This Row],[Date]],"dddd")</f>
        <v>Tuesday</v>
      </c>
      <c r="E541" s="3">
        <v>41</v>
      </c>
      <c r="F541" s="3" t="s">
        <v>135</v>
      </c>
      <c r="G541" s="3" t="s">
        <v>33</v>
      </c>
      <c r="H541" s="3" t="s">
        <v>73</v>
      </c>
      <c r="I541" s="3" t="s">
        <v>16</v>
      </c>
      <c r="J541" s="3" t="s">
        <v>103</v>
      </c>
      <c r="K541" s="3" t="s">
        <v>50</v>
      </c>
      <c r="L541" s="4">
        <v>4</v>
      </c>
      <c r="M541" s="3">
        <v>550</v>
      </c>
      <c r="N541" s="3">
        <v>850</v>
      </c>
      <c r="O541" s="15">
        <f>Bike_Sales[[#This Row],[Order_Quantity]]*Bike_Sales[[#This Row],[Unit_Price]]</f>
        <v>3400</v>
      </c>
      <c r="P541" s="15">
        <f>Bike_Sales[[#This Row],[Order_Quantity]]*Bike_Sales[[#This Row],[Unit_Cost]]</f>
        <v>2200</v>
      </c>
      <c r="Q541" s="15">
        <f>Bike_Sales[[#This Row],[Total Sales]]-Bike_Sales[[#This Row],[Total Cost]]</f>
        <v>1200</v>
      </c>
      <c r="R541" s="17">
        <f>Bike_Sales[[#This Row],[Profit]]/Bike_Sales[[#This Row],[Total Sales]]</f>
        <v>0.35294117647058826</v>
      </c>
      <c r="S541" s="16" t="str">
        <f t="shared" si="8"/>
        <v>35-44</v>
      </c>
    </row>
    <row r="542" spans="1:19" x14ac:dyDescent="0.35">
      <c r="A542" s="2">
        <v>44508</v>
      </c>
      <c r="B542" s="2" t="str">
        <f>TEXT(Bike_Sales[[#This Row],[Date]],"mmmm")</f>
        <v>November</v>
      </c>
      <c r="C542" s="19">
        <f>MONTH(Bike_Sales[[#This Row],[Date]])</f>
        <v>11</v>
      </c>
      <c r="D542" s="2" t="str">
        <f>TEXT(Bike_Sales[[#This Row],[Date]],"dddd")</f>
        <v>Monday</v>
      </c>
      <c r="E542" s="3">
        <v>41</v>
      </c>
      <c r="F542" s="3" t="s">
        <v>126</v>
      </c>
      <c r="G542" s="3" t="s">
        <v>129</v>
      </c>
      <c r="H542" s="3" t="s">
        <v>15</v>
      </c>
      <c r="I542" s="3" t="s">
        <v>11</v>
      </c>
      <c r="J542" s="3" t="s">
        <v>102</v>
      </c>
      <c r="K542" s="3" t="s">
        <v>62</v>
      </c>
      <c r="L542" s="4">
        <v>1</v>
      </c>
      <c r="M542" s="3">
        <v>580</v>
      </c>
      <c r="N542" s="3">
        <v>920</v>
      </c>
      <c r="O542" s="15">
        <f>Bike_Sales[[#This Row],[Order_Quantity]]*Bike_Sales[[#This Row],[Unit_Price]]</f>
        <v>920</v>
      </c>
      <c r="P542" s="15">
        <f>Bike_Sales[[#This Row],[Order_Quantity]]*Bike_Sales[[#This Row],[Unit_Cost]]</f>
        <v>580</v>
      </c>
      <c r="Q542" s="15">
        <f>Bike_Sales[[#This Row],[Total Sales]]-Bike_Sales[[#This Row],[Total Cost]]</f>
        <v>340</v>
      </c>
      <c r="R542" s="17">
        <f>Bike_Sales[[#This Row],[Profit]]/Bike_Sales[[#This Row],[Total Sales]]</f>
        <v>0.36956521739130432</v>
      </c>
      <c r="S542" s="16" t="str">
        <f t="shared" si="8"/>
        <v>35-44</v>
      </c>
    </row>
    <row r="543" spans="1:19" x14ac:dyDescent="0.35">
      <c r="A543" s="2">
        <v>44509</v>
      </c>
      <c r="B543" s="2" t="str">
        <f>TEXT(Bike_Sales[[#This Row],[Date]],"mmmm")</f>
        <v>November</v>
      </c>
      <c r="C543" s="19">
        <f>MONTH(Bike_Sales[[#This Row],[Date]])</f>
        <v>11</v>
      </c>
      <c r="D543" s="2" t="str">
        <f>TEXT(Bike_Sales[[#This Row],[Date]],"dddd")</f>
        <v>Tuesday</v>
      </c>
      <c r="E543" s="3">
        <v>41</v>
      </c>
      <c r="F543" s="3" t="s">
        <v>135</v>
      </c>
      <c r="G543" s="3" t="s">
        <v>33</v>
      </c>
      <c r="H543" s="3" t="s">
        <v>128</v>
      </c>
      <c r="I543" s="3" t="s">
        <v>16</v>
      </c>
      <c r="J543" s="3" t="s">
        <v>103</v>
      </c>
      <c r="K543" s="3" t="s">
        <v>45</v>
      </c>
      <c r="L543" s="4">
        <v>3</v>
      </c>
      <c r="M543" s="3">
        <v>550</v>
      </c>
      <c r="N543" s="3">
        <v>850</v>
      </c>
      <c r="O543" s="15">
        <f>Bike_Sales[[#This Row],[Order_Quantity]]*Bike_Sales[[#This Row],[Unit_Price]]</f>
        <v>2550</v>
      </c>
      <c r="P543" s="15">
        <f>Bike_Sales[[#This Row],[Order_Quantity]]*Bike_Sales[[#This Row],[Unit_Cost]]</f>
        <v>1650</v>
      </c>
      <c r="Q543" s="15">
        <f>Bike_Sales[[#This Row],[Total Sales]]-Bike_Sales[[#This Row],[Total Cost]]</f>
        <v>900</v>
      </c>
      <c r="R543" s="17">
        <f>Bike_Sales[[#This Row],[Profit]]/Bike_Sales[[#This Row],[Total Sales]]</f>
        <v>0.35294117647058826</v>
      </c>
      <c r="S543" s="16" t="str">
        <f t="shared" si="8"/>
        <v>35-44</v>
      </c>
    </row>
    <row r="544" spans="1:19" x14ac:dyDescent="0.35">
      <c r="A544" s="2">
        <v>44516</v>
      </c>
      <c r="B544" s="2" t="str">
        <f>TEXT(Bike_Sales[[#This Row],[Date]],"mmmm")</f>
        <v>November</v>
      </c>
      <c r="C544" s="19">
        <f>MONTH(Bike_Sales[[#This Row],[Date]])</f>
        <v>11</v>
      </c>
      <c r="D544" s="2" t="str">
        <f>TEXT(Bike_Sales[[#This Row],[Date]],"dddd")</f>
        <v>Tuesday</v>
      </c>
      <c r="E544" s="3">
        <v>41</v>
      </c>
      <c r="F544" s="3" t="s">
        <v>126</v>
      </c>
      <c r="G544" s="3" t="s">
        <v>129</v>
      </c>
      <c r="H544" s="3" t="s">
        <v>15</v>
      </c>
      <c r="I544" s="3" t="s">
        <v>11</v>
      </c>
      <c r="J544" s="3" t="s">
        <v>102</v>
      </c>
      <c r="K544" s="3" t="s">
        <v>62</v>
      </c>
      <c r="L544" s="4">
        <v>1</v>
      </c>
      <c r="M544" s="3">
        <v>580</v>
      </c>
      <c r="N544" s="3">
        <v>920</v>
      </c>
      <c r="O544" s="15">
        <f>Bike_Sales[[#This Row],[Order_Quantity]]*Bike_Sales[[#This Row],[Unit_Price]]</f>
        <v>920</v>
      </c>
      <c r="P544" s="15">
        <f>Bike_Sales[[#This Row],[Order_Quantity]]*Bike_Sales[[#This Row],[Unit_Cost]]</f>
        <v>580</v>
      </c>
      <c r="Q544" s="15">
        <f>Bike_Sales[[#This Row],[Total Sales]]-Bike_Sales[[#This Row],[Total Cost]]</f>
        <v>340</v>
      </c>
      <c r="R544" s="17">
        <f>Bike_Sales[[#This Row],[Profit]]/Bike_Sales[[#This Row],[Total Sales]]</f>
        <v>0.36956521739130432</v>
      </c>
      <c r="S544" s="16" t="str">
        <f t="shared" si="8"/>
        <v>35-44</v>
      </c>
    </row>
    <row r="545" spans="1:19" x14ac:dyDescent="0.35">
      <c r="A545" s="2">
        <v>44517</v>
      </c>
      <c r="B545" s="2" t="str">
        <f>TEXT(Bike_Sales[[#This Row],[Date]],"mmmm")</f>
        <v>November</v>
      </c>
      <c r="C545" s="19">
        <f>MONTH(Bike_Sales[[#This Row],[Date]])</f>
        <v>11</v>
      </c>
      <c r="D545" s="2" t="str">
        <f>TEXT(Bike_Sales[[#This Row],[Date]],"dddd")</f>
        <v>Wednesday</v>
      </c>
      <c r="E545" s="3">
        <v>41</v>
      </c>
      <c r="F545" s="3" t="s">
        <v>126</v>
      </c>
      <c r="G545" s="3" t="s">
        <v>9</v>
      </c>
      <c r="H545" s="3" t="s">
        <v>37</v>
      </c>
      <c r="I545" s="3" t="s">
        <v>11</v>
      </c>
      <c r="J545" s="3" t="s">
        <v>102</v>
      </c>
      <c r="K545" s="3" t="s">
        <v>43</v>
      </c>
      <c r="L545" s="4">
        <v>1</v>
      </c>
      <c r="M545" s="3">
        <v>900</v>
      </c>
      <c r="N545" s="3">
        <v>1400</v>
      </c>
      <c r="O545" s="15">
        <f>Bike_Sales[[#This Row],[Order_Quantity]]*Bike_Sales[[#This Row],[Unit_Price]]</f>
        <v>1400</v>
      </c>
      <c r="P545" s="15">
        <f>Bike_Sales[[#This Row],[Order_Quantity]]*Bike_Sales[[#This Row],[Unit_Cost]]</f>
        <v>900</v>
      </c>
      <c r="Q545" s="15">
        <f>Bike_Sales[[#This Row],[Total Sales]]-Bike_Sales[[#This Row],[Total Cost]]</f>
        <v>500</v>
      </c>
      <c r="R545" s="17">
        <f>Bike_Sales[[#This Row],[Profit]]/Bike_Sales[[#This Row],[Total Sales]]</f>
        <v>0.35714285714285715</v>
      </c>
      <c r="S545" s="16" t="str">
        <f t="shared" si="8"/>
        <v>35-44</v>
      </c>
    </row>
    <row r="546" spans="1:19" x14ac:dyDescent="0.35">
      <c r="A546" s="2">
        <v>44520</v>
      </c>
      <c r="B546" s="2" t="str">
        <f>TEXT(Bike_Sales[[#This Row],[Date]],"mmmm")</f>
        <v>November</v>
      </c>
      <c r="C546" s="19">
        <f>MONTH(Bike_Sales[[#This Row],[Date]])</f>
        <v>11</v>
      </c>
      <c r="D546" s="2" t="str">
        <f>TEXT(Bike_Sales[[#This Row],[Date]],"dddd")</f>
        <v>Saturday</v>
      </c>
      <c r="E546" s="3">
        <v>41</v>
      </c>
      <c r="F546" s="3" t="s">
        <v>126</v>
      </c>
      <c r="G546" s="3" t="s">
        <v>9</v>
      </c>
      <c r="H546" s="3" t="s">
        <v>37</v>
      </c>
      <c r="I546" s="3" t="s">
        <v>11</v>
      </c>
      <c r="J546" s="3" t="s">
        <v>102</v>
      </c>
      <c r="K546" s="3" t="s">
        <v>43</v>
      </c>
      <c r="L546" s="4">
        <v>3</v>
      </c>
      <c r="M546" s="3">
        <v>900</v>
      </c>
      <c r="N546" s="3">
        <v>1400</v>
      </c>
      <c r="O546" s="15">
        <f>Bike_Sales[[#This Row],[Order_Quantity]]*Bike_Sales[[#This Row],[Unit_Price]]</f>
        <v>4200</v>
      </c>
      <c r="P546" s="15">
        <f>Bike_Sales[[#This Row],[Order_Quantity]]*Bike_Sales[[#This Row],[Unit_Cost]]</f>
        <v>2700</v>
      </c>
      <c r="Q546" s="15">
        <f>Bike_Sales[[#This Row],[Total Sales]]-Bike_Sales[[#This Row],[Total Cost]]</f>
        <v>1500</v>
      </c>
      <c r="R546" s="17">
        <f>Bike_Sales[[#This Row],[Profit]]/Bike_Sales[[#This Row],[Total Sales]]</f>
        <v>0.35714285714285715</v>
      </c>
      <c r="S546" s="16" t="str">
        <f t="shared" si="8"/>
        <v>35-44</v>
      </c>
    </row>
    <row r="547" spans="1:19" x14ac:dyDescent="0.35">
      <c r="A547" s="2">
        <v>44526</v>
      </c>
      <c r="B547" s="2" t="str">
        <f>TEXT(Bike_Sales[[#This Row],[Date]],"mmmm")</f>
        <v>November</v>
      </c>
      <c r="C547" s="19">
        <f>MONTH(Bike_Sales[[#This Row],[Date]])</f>
        <v>11</v>
      </c>
      <c r="D547" s="2" t="str">
        <f>TEXT(Bike_Sales[[#This Row],[Date]],"dddd")</f>
        <v>Friday</v>
      </c>
      <c r="E547" s="3">
        <v>41</v>
      </c>
      <c r="F547" s="3" t="s">
        <v>135</v>
      </c>
      <c r="G547" s="3" t="s">
        <v>33</v>
      </c>
      <c r="H547" s="3" t="s">
        <v>136</v>
      </c>
      <c r="I547" s="3" t="s">
        <v>16</v>
      </c>
      <c r="J547" s="3" t="s">
        <v>103</v>
      </c>
      <c r="K547" s="3" t="s">
        <v>50</v>
      </c>
      <c r="L547" s="4">
        <v>1</v>
      </c>
      <c r="M547" s="3">
        <v>550</v>
      </c>
      <c r="N547" s="3">
        <v>850</v>
      </c>
      <c r="O547" s="15">
        <f>Bike_Sales[[#This Row],[Order_Quantity]]*Bike_Sales[[#This Row],[Unit_Price]]</f>
        <v>850</v>
      </c>
      <c r="P547" s="15">
        <f>Bike_Sales[[#This Row],[Order_Quantity]]*Bike_Sales[[#This Row],[Unit_Cost]]</f>
        <v>550</v>
      </c>
      <c r="Q547" s="15">
        <f>Bike_Sales[[#This Row],[Total Sales]]-Bike_Sales[[#This Row],[Total Cost]]</f>
        <v>300</v>
      </c>
      <c r="R547" s="17">
        <f>Bike_Sales[[#This Row],[Profit]]/Bike_Sales[[#This Row],[Total Sales]]</f>
        <v>0.35294117647058826</v>
      </c>
      <c r="S547" s="16" t="str">
        <f t="shared" si="8"/>
        <v>35-44</v>
      </c>
    </row>
    <row r="548" spans="1:19" x14ac:dyDescent="0.35">
      <c r="A548" s="2">
        <v>44530</v>
      </c>
      <c r="B548" s="2" t="str">
        <f>TEXT(Bike_Sales[[#This Row],[Date]],"mmmm")</f>
        <v>November</v>
      </c>
      <c r="C548" s="19">
        <f>MONTH(Bike_Sales[[#This Row],[Date]])</f>
        <v>11</v>
      </c>
      <c r="D548" s="2" t="str">
        <f>TEXT(Bike_Sales[[#This Row],[Date]],"dddd")</f>
        <v>Tuesday</v>
      </c>
      <c r="E548" s="3">
        <v>41</v>
      </c>
      <c r="F548" s="3" t="s">
        <v>126</v>
      </c>
      <c r="G548" s="3" t="s">
        <v>9</v>
      </c>
      <c r="H548" s="3" t="s">
        <v>37</v>
      </c>
      <c r="I548" s="3" t="s">
        <v>11</v>
      </c>
      <c r="J548" s="3" t="s">
        <v>102</v>
      </c>
      <c r="K548" s="3" t="s">
        <v>43</v>
      </c>
      <c r="L548" s="4">
        <v>1</v>
      </c>
      <c r="M548" s="3">
        <v>900</v>
      </c>
      <c r="N548" s="3">
        <v>1400</v>
      </c>
      <c r="O548" s="15">
        <f>Bike_Sales[[#This Row],[Order_Quantity]]*Bike_Sales[[#This Row],[Unit_Price]]</f>
        <v>1400</v>
      </c>
      <c r="P548" s="15">
        <f>Bike_Sales[[#This Row],[Order_Quantity]]*Bike_Sales[[#This Row],[Unit_Cost]]</f>
        <v>900</v>
      </c>
      <c r="Q548" s="15">
        <f>Bike_Sales[[#This Row],[Total Sales]]-Bike_Sales[[#This Row],[Total Cost]]</f>
        <v>500</v>
      </c>
      <c r="R548" s="17">
        <f>Bike_Sales[[#This Row],[Profit]]/Bike_Sales[[#This Row],[Total Sales]]</f>
        <v>0.35714285714285715</v>
      </c>
      <c r="S548" s="16" t="str">
        <f t="shared" si="8"/>
        <v>35-44</v>
      </c>
    </row>
    <row r="549" spans="1:19" x14ac:dyDescent="0.35">
      <c r="A549" s="2">
        <v>44532</v>
      </c>
      <c r="B549" s="2" t="str">
        <f>TEXT(Bike_Sales[[#This Row],[Date]],"mmmm")</f>
        <v>December</v>
      </c>
      <c r="C549" s="19">
        <f>MONTH(Bike_Sales[[#This Row],[Date]])</f>
        <v>12</v>
      </c>
      <c r="D549" s="2" t="str">
        <f>TEXT(Bike_Sales[[#This Row],[Date]],"dddd")</f>
        <v>Thursday</v>
      </c>
      <c r="E549" s="3">
        <v>41</v>
      </c>
      <c r="F549" s="3" t="s">
        <v>126</v>
      </c>
      <c r="G549" s="3" t="s">
        <v>18</v>
      </c>
      <c r="H549" s="3" t="s">
        <v>24</v>
      </c>
      <c r="I549" s="3" t="s">
        <v>11</v>
      </c>
      <c r="J549" s="3" t="s">
        <v>101</v>
      </c>
      <c r="K549" s="3" t="s">
        <v>32</v>
      </c>
      <c r="L549" s="4">
        <v>3</v>
      </c>
      <c r="M549" s="3">
        <v>700</v>
      </c>
      <c r="N549" s="3">
        <v>1100</v>
      </c>
      <c r="O549" s="15">
        <f>Bike_Sales[[#This Row],[Order_Quantity]]*Bike_Sales[[#This Row],[Unit_Price]]</f>
        <v>3300</v>
      </c>
      <c r="P549" s="15">
        <f>Bike_Sales[[#This Row],[Order_Quantity]]*Bike_Sales[[#This Row],[Unit_Cost]]</f>
        <v>2100</v>
      </c>
      <c r="Q549" s="15">
        <f>Bike_Sales[[#This Row],[Total Sales]]-Bike_Sales[[#This Row],[Total Cost]]</f>
        <v>1200</v>
      </c>
      <c r="R549" s="17">
        <f>Bike_Sales[[#This Row],[Profit]]/Bike_Sales[[#This Row],[Total Sales]]</f>
        <v>0.36363636363636365</v>
      </c>
      <c r="S549" s="16" t="str">
        <f t="shared" si="8"/>
        <v>35-44</v>
      </c>
    </row>
    <row r="550" spans="1:19" x14ac:dyDescent="0.35">
      <c r="A550" s="2">
        <v>44533</v>
      </c>
      <c r="B550" s="2" t="str">
        <f>TEXT(Bike_Sales[[#This Row],[Date]],"mmmm")</f>
        <v>December</v>
      </c>
      <c r="C550" s="19">
        <f>MONTH(Bike_Sales[[#This Row],[Date]])</f>
        <v>12</v>
      </c>
      <c r="D550" s="2" t="str">
        <f>TEXT(Bike_Sales[[#This Row],[Date]],"dddd")</f>
        <v>Friday</v>
      </c>
      <c r="E550" s="3">
        <v>41</v>
      </c>
      <c r="F550" s="3" t="s">
        <v>135</v>
      </c>
      <c r="G550" s="3" t="s">
        <v>9</v>
      </c>
      <c r="H550" s="3" t="s">
        <v>37</v>
      </c>
      <c r="I550" s="3" t="s">
        <v>11</v>
      </c>
      <c r="J550" s="3" t="s">
        <v>101</v>
      </c>
      <c r="K550" s="3" t="s">
        <v>46</v>
      </c>
      <c r="L550" s="4">
        <v>4</v>
      </c>
      <c r="M550" s="3">
        <v>580</v>
      </c>
      <c r="N550" s="3">
        <v>920</v>
      </c>
      <c r="O550" s="15">
        <f>Bike_Sales[[#This Row],[Order_Quantity]]*Bike_Sales[[#This Row],[Unit_Price]]</f>
        <v>3680</v>
      </c>
      <c r="P550" s="15">
        <f>Bike_Sales[[#This Row],[Order_Quantity]]*Bike_Sales[[#This Row],[Unit_Cost]]</f>
        <v>2320</v>
      </c>
      <c r="Q550" s="15">
        <f>Bike_Sales[[#This Row],[Total Sales]]-Bike_Sales[[#This Row],[Total Cost]]</f>
        <v>1360</v>
      </c>
      <c r="R550" s="17">
        <f>Bike_Sales[[#This Row],[Profit]]/Bike_Sales[[#This Row],[Total Sales]]</f>
        <v>0.36956521739130432</v>
      </c>
      <c r="S550" s="16" t="str">
        <f t="shared" si="8"/>
        <v>35-44</v>
      </c>
    </row>
    <row r="551" spans="1:19" x14ac:dyDescent="0.35">
      <c r="A551" s="2">
        <v>44535</v>
      </c>
      <c r="B551" s="2" t="str">
        <f>TEXT(Bike_Sales[[#This Row],[Date]],"mmmm")</f>
        <v>December</v>
      </c>
      <c r="C551" s="19">
        <f>MONTH(Bike_Sales[[#This Row],[Date]])</f>
        <v>12</v>
      </c>
      <c r="D551" s="2" t="str">
        <f>TEXT(Bike_Sales[[#This Row],[Date]],"dddd")</f>
        <v>Sunday</v>
      </c>
      <c r="E551" s="3">
        <v>41</v>
      </c>
      <c r="F551" s="3" t="s">
        <v>126</v>
      </c>
      <c r="G551" s="3" t="s">
        <v>9</v>
      </c>
      <c r="H551" s="3" t="s">
        <v>37</v>
      </c>
      <c r="I551" s="3" t="s">
        <v>11</v>
      </c>
      <c r="J551" s="3" t="s">
        <v>102</v>
      </c>
      <c r="K551" s="3" t="s">
        <v>43</v>
      </c>
      <c r="L551" s="4">
        <v>1</v>
      </c>
      <c r="M551" s="3">
        <v>900</v>
      </c>
      <c r="N551" s="3">
        <v>1400</v>
      </c>
      <c r="O551" s="15">
        <f>Bike_Sales[[#This Row],[Order_Quantity]]*Bike_Sales[[#This Row],[Unit_Price]]</f>
        <v>1400</v>
      </c>
      <c r="P551" s="15">
        <f>Bike_Sales[[#This Row],[Order_Quantity]]*Bike_Sales[[#This Row],[Unit_Cost]]</f>
        <v>900</v>
      </c>
      <c r="Q551" s="15">
        <f>Bike_Sales[[#This Row],[Total Sales]]-Bike_Sales[[#This Row],[Total Cost]]</f>
        <v>500</v>
      </c>
      <c r="R551" s="17">
        <f>Bike_Sales[[#This Row],[Profit]]/Bike_Sales[[#This Row],[Total Sales]]</f>
        <v>0.35714285714285715</v>
      </c>
      <c r="S551" s="16" t="str">
        <f t="shared" si="8"/>
        <v>35-44</v>
      </c>
    </row>
    <row r="552" spans="1:19" x14ac:dyDescent="0.35">
      <c r="A552" s="2">
        <v>44537</v>
      </c>
      <c r="B552" s="2" t="str">
        <f>TEXT(Bike_Sales[[#This Row],[Date]],"mmmm")</f>
        <v>December</v>
      </c>
      <c r="C552" s="19">
        <f>MONTH(Bike_Sales[[#This Row],[Date]])</f>
        <v>12</v>
      </c>
      <c r="D552" s="2" t="str">
        <f>TEXT(Bike_Sales[[#This Row],[Date]],"dddd")</f>
        <v>Tuesday</v>
      </c>
      <c r="E552" s="3">
        <v>41</v>
      </c>
      <c r="F552" s="3" t="s">
        <v>135</v>
      </c>
      <c r="G552" s="3" t="s">
        <v>9</v>
      </c>
      <c r="H552" s="3" t="s">
        <v>10</v>
      </c>
      <c r="I552" s="3" t="s">
        <v>11</v>
      </c>
      <c r="J552" s="3" t="s">
        <v>101</v>
      </c>
      <c r="K552" s="3" t="s">
        <v>44</v>
      </c>
      <c r="L552" s="4">
        <v>1</v>
      </c>
      <c r="M552" s="3">
        <v>700</v>
      </c>
      <c r="N552" s="3">
        <v>1100</v>
      </c>
      <c r="O552" s="15">
        <f>Bike_Sales[[#This Row],[Order_Quantity]]*Bike_Sales[[#This Row],[Unit_Price]]</f>
        <v>1100</v>
      </c>
      <c r="P552" s="15">
        <f>Bike_Sales[[#This Row],[Order_Quantity]]*Bike_Sales[[#This Row],[Unit_Cost]]</f>
        <v>700</v>
      </c>
      <c r="Q552" s="15">
        <f>Bike_Sales[[#This Row],[Total Sales]]-Bike_Sales[[#This Row],[Total Cost]]</f>
        <v>400</v>
      </c>
      <c r="R552" s="17">
        <f>Bike_Sales[[#This Row],[Profit]]/Bike_Sales[[#This Row],[Total Sales]]</f>
        <v>0.36363636363636365</v>
      </c>
      <c r="S552" s="16" t="str">
        <f t="shared" si="8"/>
        <v>35-44</v>
      </c>
    </row>
    <row r="553" spans="1:19" x14ac:dyDescent="0.35">
      <c r="A553" s="2">
        <v>44539</v>
      </c>
      <c r="B553" s="2" t="str">
        <f>TEXT(Bike_Sales[[#This Row],[Date]],"mmmm")</f>
        <v>December</v>
      </c>
      <c r="C553" s="19">
        <f>MONTH(Bike_Sales[[#This Row],[Date]])</f>
        <v>12</v>
      </c>
      <c r="D553" s="2" t="str">
        <f>TEXT(Bike_Sales[[#This Row],[Date]],"dddd")</f>
        <v>Thursday</v>
      </c>
      <c r="E553" s="3">
        <v>41</v>
      </c>
      <c r="F553" s="3" t="s">
        <v>135</v>
      </c>
      <c r="G553" s="3" t="s">
        <v>33</v>
      </c>
      <c r="H553" s="3" t="s">
        <v>128</v>
      </c>
      <c r="I553" s="3" t="s">
        <v>16</v>
      </c>
      <c r="J553" s="3" t="s">
        <v>103</v>
      </c>
      <c r="K553" s="3" t="s">
        <v>45</v>
      </c>
      <c r="L553" s="4">
        <v>1</v>
      </c>
      <c r="M553" s="3">
        <v>550</v>
      </c>
      <c r="N553" s="3">
        <v>850</v>
      </c>
      <c r="O553" s="15">
        <f>Bike_Sales[[#This Row],[Order_Quantity]]*Bike_Sales[[#This Row],[Unit_Price]]</f>
        <v>850</v>
      </c>
      <c r="P553" s="15">
        <f>Bike_Sales[[#This Row],[Order_Quantity]]*Bike_Sales[[#This Row],[Unit_Cost]]</f>
        <v>550</v>
      </c>
      <c r="Q553" s="15">
        <f>Bike_Sales[[#This Row],[Total Sales]]-Bike_Sales[[#This Row],[Total Cost]]</f>
        <v>300</v>
      </c>
      <c r="R553" s="17">
        <f>Bike_Sales[[#This Row],[Profit]]/Bike_Sales[[#This Row],[Total Sales]]</f>
        <v>0.35294117647058826</v>
      </c>
      <c r="S553" s="16" t="str">
        <f t="shared" si="8"/>
        <v>35-44</v>
      </c>
    </row>
    <row r="554" spans="1:19" x14ac:dyDescent="0.35">
      <c r="A554" s="2">
        <v>44541</v>
      </c>
      <c r="B554" s="2" t="str">
        <f>TEXT(Bike_Sales[[#This Row],[Date]],"mmmm")</f>
        <v>December</v>
      </c>
      <c r="C554" s="19">
        <f>MONTH(Bike_Sales[[#This Row],[Date]])</f>
        <v>12</v>
      </c>
      <c r="D554" s="2" t="str">
        <f>TEXT(Bike_Sales[[#This Row],[Date]],"dddd")</f>
        <v>Saturday</v>
      </c>
      <c r="E554" s="3">
        <v>41</v>
      </c>
      <c r="F554" s="3" t="s">
        <v>126</v>
      </c>
      <c r="G554" s="3" t="s">
        <v>9</v>
      </c>
      <c r="H554" s="3" t="s">
        <v>10</v>
      </c>
      <c r="I554" s="3" t="s">
        <v>11</v>
      </c>
      <c r="J554" s="3" t="s">
        <v>101</v>
      </c>
      <c r="K554" s="3" t="s">
        <v>32</v>
      </c>
      <c r="L554" s="4">
        <v>3</v>
      </c>
      <c r="M554" s="3">
        <v>700</v>
      </c>
      <c r="N554" s="3">
        <v>1100</v>
      </c>
      <c r="O554" s="15">
        <f>Bike_Sales[[#This Row],[Order_Quantity]]*Bike_Sales[[#This Row],[Unit_Price]]</f>
        <v>3300</v>
      </c>
      <c r="P554" s="15">
        <f>Bike_Sales[[#This Row],[Order_Quantity]]*Bike_Sales[[#This Row],[Unit_Cost]]</f>
        <v>2100</v>
      </c>
      <c r="Q554" s="15">
        <f>Bike_Sales[[#This Row],[Total Sales]]-Bike_Sales[[#This Row],[Total Cost]]</f>
        <v>1200</v>
      </c>
      <c r="R554" s="17">
        <f>Bike_Sales[[#This Row],[Profit]]/Bike_Sales[[#This Row],[Total Sales]]</f>
        <v>0.36363636363636365</v>
      </c>
      <c r="S554" s="16" t="str">
        <f t="shared" si="8"/>
        <v>35-44</v>
      </c>
    </row>
    <row r="555" spans="1:19" x14ac:dyDescent="0.35">
      <c r="A555" s="2">
        <v>44541</v>
      </c>
      <c r="B555" s="2" t="str">
        <f>TEXT(Bike_Sales[[#This Row],[Date]],"mmmm")</f>
        <v>December</v>
      </c>
      <c r="C555" s="19">
        <f>MONTH(Bike_Sales[[#This Row],[Date]])</f>
        <v>12</v>
      </c>
      <c r="D555" s="2" t="str">
        <f>TEXT(Bike_Sales[[#This Row],[Date]],"dddd")</f>
        <v>Saturday</v>
      </c>
      <c r="E555" s="3">
        <v>41</v>
      </c>
      <c r="F555" s="3" t="s">
        <v>135</v>
      </c>
      <c r="G555" s="3" t="s">
        <v>18</v>
      </c>
      <c r="H555" s="3" t="s">
        <v>24</v>
      </c>
      <c r="I555" s="3" t="s">
        <v>16</v>
      </c>
      <c r="J555" s="3" t="s">
        <v>103</v>
      </c>
      <c r="K555" s="3" t="s">
        <v>55</v>
      </c>
      <c r="L555" s="4">
        <v>2</v>
      </c>
      <c r="M555" s="3">
        <v>450</v>
      </c>
      <c r="N555" s="3">
        <v>720</v>
      </c>
      <c r="O555" s="15">
        <f>Bike_Sales[[#This Row],[Order_Quantity]]*Bike_Sales[[#This Row],[Unit_Price]]</f>
        <v>1440</v>
      </c>
      <c r="P555" s="15">
        <f>Bike_Sales[[#This Row],[Order_Quantity]]*Bike_Sales[[#This Row],[Unit_Cost]]</f>
        <v>900</v>
      </c>
      <c r="Q555" s="15">
        <f>Bike_Sales[[#This Row],[Total Sales]]-Bike_Sales[[#This Row],[Total Cost]]</f>
        <v>540</v>
      </c>
      <c r="R555" s="17">
        <f>Bike_Sales[[#This Row],[Profit]]/Bike_Sales[[#This Row],[Total Sales]]</f>
        <v>0.375</v>
      </c>
      <c r="S555" s="16" t="str">
        <f t="shared" si="8"/>
        <v>35-44</v>
      </c>
    </row>
    <row r="556" spans="1:19" x14ac:dyDescent="0.35">
      <c r="A556" s="2">
        <v>44552</v>
      </c>
      <c r="B556" s="2" t="str">
        <f>TEXT(Bike_Sales[[#This Row],[Date]],"mmmm")</f>
        <v>December</v>
      </c>
      <c r="C556" s="19">
        <f>MONTH(Bike_Sales[[#This Row],[Date]])</f>
        <v>12</v>
      </c>
      <c r="D556" s="2" t="str">
        <f>TEXT(Bike_Sales[[#This Row],[Date]],"dddd")</f>
        <v>Wednesday</v>
      </c>
      <c r="E556" s="3">
        <v>41</v>
      </c>
      <c r="F556" s="3" t="s">
        <v>126</v>
      </c>
      <c r="G556" s="3" t="s">
        <v>9</v>
      </c>
      <c r="H556" s="3" t="s">
        <v>10</v>
      </c>
      <c r="I556" s="3" t="s">
        <v>16</v>
      </c>
      <c r="J556" s="3" t="s">
        <v>101</v>
      </c>
      <c r="K556" s="3" t="s">
        <v>25</v>
      </c>
      <c r="L556" s="4">
        <v>3</v>
      </c>
      <c r="M556" s="3">
        <v>550</v>
      </c>
      <c r="N556" s="3">
        <v>850</v>
      </c>
      <c r="O556" s="15">
        <f>Bike_Sales[[#This Row],[Order_Quantity]]*Bike_Sales[[#This Row],[Unit_Price]]</f>
        <v>2550</v>
      </c>
      <c r="P556" s="15">
        <f>Bike_Sales[[#This Row],[Order_Quantity]]*Bike_Sales[[#This Row],[Unit_Cost]]</f>
        <v>1650</v>
      </c>
      <c r="Q556" s="15">
        <f>Bike_Sales[[#This Row],[Total Sales]]-Bike_Sales[[#This Row],[Total Cost]]</f>
        <v>900</v>
      </c>
      <c r="R556" s="17">
        <f>Bike_Sales[[#This Row],[Profit]]/Bike_Sales[[#This Row],[Total Sales]]</f>
        <v>0.35294117647058826</v>
      </c>
      <c r="S556" s="16" t="str">
        <f t="shared" si="8"/>
        <v>35-44</v>
      </c>
    </row>
    <row r="557" spans="1:19" x14ac:dyDescent="0.35">
      <c r="A557" s="2">
        <v>44552</v>
      </c>
      <c r="B557" s="2" t="str">
        <f>TEXT(Bike_Sales[[#This Row],[Date]],"mmmm")</f>
        <v>December</v>
      </c>
      <c r="C557" s="19">
        <f>MONTH(Bike_Sales[[#This Row],[Date]])</f>
        <v>12</v>
      </c>
      <c r="D557" s="2" t="str">
        <f>TEXT(Bike_Sales[[#This Row],[Date]],"dddd")</f>
        <v>Wednesday</v>
      </c>
      <c r="E557" s="3">
        <v>41</v>
      </c>
      <c r="F557" s="3" t="s">
        <v>126</v>
      </c>
      <c r="G557" s="3" t="s">
        <v>33</v>
      </c>
      <c r="H557" s="3" t="s">
        <v>73</v>
      </c>
      <c r="I557" s="3" t="s">
        <v>16</v>
      </c>
      <c r="J557" s="3" t="s">
        <v>103</v>
      </c>
      <c r="K557" s="3" t="s">
        <v>22</v>
      </c>
      <c r="L557" s="4">
        <v>1</v>
      </c>
      <c r="M557" s="3">
        <v>550</v>
      </c>
      <c r="N557" s="3">
        <v>850</v>
      </c>
      <c r="O557" s="15">
        <f>Bike_Sales[[#This Row],[Order_Quantity]]*Bike_Sales[[#This Row],[Unit_Price]]</f>
        <v>850</v>
      </c>
      <c r="P557" s="15">
        <f>Bike_Sales[[#This Row],[Order_Quantity]]*Bike_Sales[[#This Row],[Unit_Cost]]</f>
        <v>550</v>
      </c>
      <c r="Q557" s="15">
        <f>Bike_Sales[[#This Row],[Total Sales]]-Bike_Sales[[#This Row],[Total Cost]]</f>
        <v>300</v>
      </c>
      <c r="R557" s="17">
        <f>Bike_Sales[[#This Row],[Profit]]/Bike_Sales[[#This Row],[Total Sales]]</f>
        <v>0.35294117647058826</v>
      </c>
      <c r="S557" s="16" t="str">
        <f t="shared" si="8"/>
        <v>35-44</v>
      </c>
    </row>
    <row r="558" spans="1:19" x14ac:dyDescent="0.35">
      <c r="A558" s="2">
        <v>44557</v>
      </c>
      <c r="B558" s="2" t="str">
        <f>TEXT(Bike_Sales[[#This Row],[Date]],"mmmm")</f>
        <v>December</v>
      </c>
      <c r="C558" s="19">
        <f>MONTH(Bike_Sales[[#This Row],[Date]])</f>
        <v>12</v>
      </c>
      <c r="D558" s="2" t="str">
        <f>TEXT(Bike_Sales[[#This Row],[Date]],"dddd")</f>
        <v>Monday</v>
      </c>
      <c r="E558" s="3">
        <v>41</v>
      </c>
      <c r="F558" s="3" t="s">
        <v>135</v>
      </c>
      <c r="G558" s="3" t="s">
        <v>18</v>
      </c>
      <c r="H558" s="3" t="s">
        <v>35</v>
      </c>
      <c r="I558" s="3" t="s">
        <v>11</v>
      </c>
      <c r="J558" s="3" t="s">
        <v>102</v>
      </c>
      <c r="K558" s="3" t="s">
        <v>43</v>
      </c>
      <c r="L558" s="4">
        <v>1</v>
      </c>
      <c r="M558" s="3">
        <v>900</v>
      </c>
      <c r="N558" s="3">
        <v>1400</v>
      </c>
      <c r="O558" s="15">
        <f>Bike_Sales[[#This Row],[Order_Quantity]]*Bike_Sales[[#This Row],[Unit_Price]]</f>
        <v>1400</v>
      </c>
      <c r="P558" s="15">
        <f>Bike_Sales[[#This Row],[Order_Quantity]]*Bike_Sales[[#This Row],[Unit_Cost]]</f>
        <v>900</v>
      </c>
      <c r="Q558" s="15">
        <f>Bike_Sales[[#This Row],[Total Sales]]-Bike_Sales[[#This Row],[Total Cost]]</f>
        <v>500</v>
      </c>
      <c r="R558" s="17">
        <f>Bike_Sales[[#This Row],[Profit]]/Bike_Sales[[#This Row],[Total Sales]]</f>
        <v>0.35714285714285715</v>
      </c>
      <c r="S558" s="16" t="str">
        <f t="shared" si="8"/>
        <v>35-44</v>
      </c>
    </row>
    <row r="559" spans="1:19" x14ac:dyDescent="0.35">
      <c r="A559" s="2">
        <v>44483</v>
      </c>
      <c r="B559" s="2" t="str">
        <f>TEXT(Bike_Sales[[#This Row],[Date]],"mmmm")</f>
        <v>October</v>
      </c>
      <c r="C559" s="19">
        <f>MONTH(Bike_Sales[[#This Row],[Date]])</f>
        <v>10</v>
      </c>
      <c r="D559" s="2" t="str">
        <f>TEXT(Bike_Sales[[#This Row],[Date]],"dddd")</f>
        <v>Thursday</v>
      </c>
      <c r="E559" s="3">
        <v>42</v>
      </c>
      <c r="F559" s="3" t="s">
        <v>135</v>
      </c>
      <c r="G559" s="3" t="s">
        <v>33</v>
      </c>
      <c r="H559" s="3" t="s">
        <v>73</v>
      </c>
      <c r="I559" s="3" t="s">
        <v>11</v>
      </c>
      <c r="J559" s="3" t="s">
        <v>102</v>
      </c>
      <c r="K559" s="3" t="s">
        <v>23</v>
      </c>
      <c r="L559" s="4">
        <v>1</v>
      </c>
      <c r="M559" s="3">
        <v>620</v>
      </c>
      <c r="N559" s="3">
        <v>980</v>
      </c>
      <c r="O559" s="15">
        <f>Bike_Sales[[#This Row],[Order_Quantity]]*Bike_Sales[[#This Row],[Unit_Price]]</f>
        <v>980</v>
      </c>
      <c r="P559" s="15">
        <f>Bike_Sales[[#This Row],[Order_Quantity]]*Bike_Sales[[#This Row],[Unit_Cost]]</f>
        <v>620</v>
      </c>
      <c r="Q559" s="15">
        <f>Bike_Sales[[#This Row],[Total Sales]]-Bike_Sales[[#This Row],[Total Cost]]</f>
        <v>360</v>
      </c>
      <c r="R559" s="17">
        <f>Bike_Sales[[#This Row],[Profit]]/Bike_Sales[[#This Row],[Total Sales]]</f>
        <v>0.36734693877551022</v>
      </c>
      <c r="S559" s="16" t="str">
        <f t="shared" si="8"/>
        <v>35-44</v>
      </c>
    </row>
    <row r="560" spans="1:19" x14ac:dyDescent="0.35">
      <c r="A560" s="2">
        <v>44485</v>
      </c>
      <c r="B560" s="2" t="str">
        <f>TEXT(Bike_Sales[[#This Row],[Date]],"mmmm")</f>
        <v>October</v>
      </c>
      <c r="C560" s="19">
        <f>MONTH(Bike_Sales[[#This Row],[Date]])</f>
        <v>10</v>
      </c>
      <c r="D560" s="2" t="str">
        <f>TEXT(Bike_Sales[[#This Row],[Date]],"dddd")</f>
        <v>Saturday</v>
      </c>
      <c r="E560" s="3">
        <v>42</v>
      </c>
      <c r="F560" s="3" t="s">
        <v>135</v>
      </c>
      <c r="G560" s="3" t="s">
        <v>9</v>
      </c>
      <c r="H560" s="3" t="s">
        <v>37</v>
      </c>
      <c r="I560" s="3" t="s">
        <v>11</v>
      </c>
      <c r="J560" s="3" t="s">
        <v>101</v>
      </c>
      <c r="K560" s="3" t="s">
        <v>32</v>
      </c>
      <c r="L560" s="4">
        <v>2</v>
      </c>
      <c r="M560" s="3">
        <v>700</v>
      </c>
      <c r="N560" s="3">
        <v>1100</v>
      </c>
      <c r="O560" s="15">
        <f>Bike_Sales[[#This Row],[Order_Quantity]]*Bike_Sales[[#This Row],[Unit_Price]]</f>
        <v>2200</v>
      </c>
      <c r="P560" s="15">
        <f>Bike_Sales[[#This Row],[Order_Quantity]]*Bike_Sales[[#This Row],[Unit_Cost]]</f>
        <v>1400</v>
      </c>
      <c r="Q560" s="15">
        <f>Bike_Sales[[#This Row],[Total Sales]]-Bike_Sales[[#This Row],[Total Cost]]</f>
        <v>800</v>
      </c>
      <c r="R560" s="17">
        <f>Bike_Sales[[#This Row],[Profit]]/Bike_Sales[[#This Row],[Total Sales]]</f>
        <v>0.36363636363636365</v>
      </c>
      <c r="S560" s="16" t="str">
        <f t="shared" si="8"/>
        <v>35-44</v>
      </c>
    </row>
    <row r="561" spans="1:19" x14ac:dyDescent="0.35">
      <c r="A561" s="2">
        <v>44492</v>
      </c>
      <c r="B561" s="2" t="str">
        <f>TEXT(Bike_Sales[[#This Row],[Date]],"mmmm")</f>
        <v>October</v>
      </c>
      <c r="C561" s="19">
        <f>MONTH(Bike_Sales[[#This Row],[Date]])</f>
        <v>10</v>
      </c>
      <c r="D561" s="2" t="str">
        <f>TEXT(Bike_Sales[[#This Row],[Date]],"dddd")</f>
        <v>Saturday</v>
      </c>
      <c r="E561" s="3">
        <v>42</v>
      </c>
      <c r="F561" s="3" t="s">
        <v>126</v>
      </c>
      <c r="G561" s="3" t="s">
        <v>18</v>
      </c>
      <c r="H561" s="3" t="s">
        <v>35</v>
      </c>
      <c r="I561" s="3" t="s">
        <v>16</v>
      </c>
      <c r="J561" s="3" t="s">
        <v>103</v>
      </c>
      <c r="K561" s="3" t="s">
        <v>50</v>
      </c>
      <c r="L561" s="4">
        <v>1</v>
      </c>
      <c r="M561" s="3">
        <v>550</v>
      </c>
      <c r="N561" s="3">
        <v>850</v>
      </c>
      <c r="O561" s="15">
        <f>Bike_Sales[[#This Row],[Order_Quantity]]*Bike_Sales[[#This Row],[Unit_Price]]</f>
        <v>850</v>
      </c>
      <c r="P561" s="15">
        <f>Bike_Sales[[#This Row],[Order_Quantity]]*Bike_Sales[[#This Row],[Unit_Cost]]</f>
        <v>550</v>
      </c>
      <c r="Q561" s="15">
        <f>Bike_Sales[[#This Row],[Total Sales]]-Bike_Sales[[#This Row],[Total Cost]]</f>
        <v>300</v>
      </c>
      <c r="R561" s="17">
        <f>Bike_Sales[[#This Row],[Profit]]/Bike_Sales[[#This Row],[Total Sales]]</f>
        <v>0.35294117647058826</v>
      </c>
      <c r="S561" s="16" t="str">
        <f t="shared" si="8"/>
        <v>35-44</v>
      </c>
    </row>
    <row r="562" spans="1:19" x14ac:dyDescent="0.35">
      <c r="A562" s="2">
        <v>44492</v>
      </c>
      <c r="B562" s="2" t="str">
        <f>TEXT(Bike_Sales[[#This Row],[Date]],"mmmm")</f>
        <v>October</v>
      </c>
      <c r="C562" s="19">
        <f>MONTH(Bike_Sales[[#This Row],[Date]])</f>
        <v>10</v>
      </c>
      <c r="D562" s="2" t="str">
        <f>TEXT(Bike_Sales[[#This Row],[Date]],"dddd")</f>
        <v>Saturday</v>
      </c>
      <c r="E562" s="3">
        <v>42</v>
      </c>
      <c r="F562" s="3" t="s">
        <v>126</v>
      </c>
      <c r="G562" s="3" t="s">
        <v>18</v>
      </c>
      <c r="H562" s="3" t="s">
        <v>21</v>
      </c>
      <c r="I562" s="3" t="s">
        <v>16</v>
      </c>
      <c r="J562" s="3" t="s">
        <v>101</v>
      </c>
      <c r="K562" s="3" t="s">
        <v>17</v>
      </c>
      <c r="L562" s="4">
        <v>1</v>
      </c>
      <c r="M562" s="3">
        <v>550</v>
      </c>
      <c r="N562" s="3">
        <v>850</v>
      </c>
      <c r="O562" s="15">
        <f>Bike_Sales[[#This Row],[Order_Quantity]]*Bike_Sales[[#This Row],[Unit_Price]]</f>
        <v>850</v>
      </c>
      <c r="P562" s="15">
        <f>Bike_Sales[[#This Row],[Order_Quantity]]*Bike_Sales[[#This Row],[Unit_Cost]]</f>
        <v>550</v>
      </c>
      <c r="Q562" s="15">
        <f>Bike_Sales[[#This Row],[Total Sales]]-Bike_Sales[[#This Row],[Total Cost]]</f>
        <v>300</v>
      </c>
      <c r="R562" s="17">
        <f>Bike_Sales[[#This Row],[Profit]]/Bike_Sales[[#This Row],[Total Sales]]</f>
        <v>0.35294117647058826</v>
      </c>
      <c r="S562" s="16" t="str">
        <f t="shared" si="8"/>
        <v>35-44</v>
      </c>
    </row>
    <row r="563" spans="1:19" x14ac:dyDescent="0.35">
      <c r="A563" s="2">
        <v>44497</v>
      </c>
      <c r="B563" s="2" t="str">
        <f>TEXT(Bike_Sales[[#This Row],[Date]],"mmmm")</f>
        <v>October</v>
      </c>
      <c r="C563" s="19">
        <f>MONTH(Bike_Sales[[#This Row],[Date]])</f>
        <v>10</v>
      </c>
      <c r="D563" s="2" t="str">
        <f>TEXT(Bike_Sales[[#This Row],[Date]],"dddd")</f>
        <v>Thursday</v>
      </c>
      <c r="E563" s="3">
        <v>42</v>
      </c>
      <c r="F563" s="3" t="s">
        <v>126</v>
      </c>
      <c r="G563" s="3" t="s">
        <v>18</v>
      </c>
      <c r="H563" s="3" t="s">
        <v>24</v>
      </c>
      <c r="I563" s="3" t="s">
        <v>11</v>
      </c>
      <c r="J563" s="3" t="s">
        <v>102</v>
      </c>
      <c r="K563" s="3" t="s">
        <v>66</v>
      </c>
      <c r="L563" s="4">
        <v>1</v>
      </c>
      <c r="M563" s="3">
        <v>900</v>
      </c>
      <c r="N563" s="3">
        <v>1400</v>
      </c>
      <c r="O563" s="15">
        <f>Bike_Sales[[#This Row],[Order_Quantity]]*Bike_Sales[[#This Row],[Unit_Price]]</f>
        <v>1400</v>
      </c>
      <c r="P563" s="15">
        <f>Bike_Sales[[#This Row],[Order_Quantity]]*Bike_Sales[[#This Row],[Unit_Cost]]</f>
        <v>900</v>
      </c>
      <c r="Q563" s="15">
        <f>Bike_Sales[[#This Row],[Total Sales]]-Bike_Sales[[#This Row],[Total Cost]]</f>
        <v>500</v>
      </c>
      <c r="R563" s="17">
        <f>Bike_Sales[[#This Row],[Profit]]/Bike_Sales[[#This Row],[Total Sales]]</f>
        <v>0.35714285714285715</v>
      </c>
      <c r="S563" s="16" t="str">
        <f t="shared" si="8"/>
        <v>35-44</v>
      </c>
    </row>
    <row r="564" spans="1:19" x14ac:dyDescent="0.35">
      <c r="A564" s="2">
        <v>44499</v>
      </c>
      <c r="B564" s="2" t="str">
        <f>TEXT(Bike_Sales[[#This Row],[Date]],"mmmm")</f>
        <v>October</v>
      </c>
      <c r="C564" s="19">
        <f>MONTH(Bike_Sales[[#This Row],[Date]])</f>
        <v>10</v>
      </c>
      <c r="D564" s="2" t="str">
        <f>TEXT(Bike_Sales[[#This Row],[Date]],"dddd")</f>
        <v>Saturday</v>
      </c>
      <c r="E564" s="3">
        <v>42</v>
      </c>
      <c r="F564" s="3" t="s">
        <v>135</v>
      </c>
      <c r="G564" s="3" t="s">
        <v>18</v>
      </c>
      <c r="H564" s="3" t="s">
        <v>35</v>
      </c>
      <c r="I564" s="3" t="s">
        <v>11</v>
      </c>
      <c r="J564" s="3" t="s">
        <v>101</v>
      </c>
      <c r="K564" s="3" t="s">
        <v>32</v>
      </c>
      <c r="L564" s="4">
        <v>3</v>
      </c>
      <c r="M564" s="3">
        <v>700</v>
      </c>
      <c r="N564" s="3">
        <v>1100</v>
      </c>
      <c r="O564" s="15">
        <f>Bike_Sales[[#This Row],[Order_Quantity]]*Bike_Sales[[#This Row],[Unit_Price]]</f>
        <v>3300</v>
      </c>
      <c r="P564" s="15">
        <f>Bike_Sales[[#This Row],[Order_Quantity]]*Bike_Sales[[#This Row],[Unit_Cost]]</f>
        <v>2100</v>
      </c>
      <c r="Q564" s="15">
        <f>Bike_Sales[[#This Row],[Total Sales]]-Bike_Sales[[#This Row],[Total Cost]]</f>
        <v>1200</v>
      </c>
      <c r="R564" s="17">
        <f>Bike_Sales[[#This Row],[Profit]]/Bike_Sales[[#This Row],[Total Sales]]</f>
        <v>0.36363636363636365</v>
      </c>
      <c r="S564" s="16" t="str">
        <f t="shared" si="8"/>
        <v>35-44</v>
      </c>
    </row>
    <row r="565" spans="1:19" x14ac:dyDescent="0.35">
      <c r="A565" s="2">
        <v>44525</v>
      </c>
      <c r="B565" s="2" t="str">
        <f>TEXT(Bike_Sales[[#This Row],[Date]],"mmmm")</f>
        <v>November</v>
      </c>
      <c r="C565" s="19">
        <f>MONTH(Bike_Sales[[#This Row],[Date]])</f>
        <v>11</v>
      </c>
      <c r="D565" s="2" t="str">
        <f>TEXT(Bike_Sales[[#This Row],[Date]],"dddd")</f>
        <v>Thursday</v>
      </c>
      <c r="E565" s="3">
        <v>42</v>
      </c>
      <c r="F565" s="3" t="s">
        <v>126</v>
      </c>
      <c r="G565" s="3" t="s">
        <v>129</v>
      </c>
      <c r="H565" s="3" t="s">
        <v>15</v>
      </c>
      <c r="I565" s="3" t="s">
        <v>11</v>
      </c>
      <c r="J565" s="3" t="s">
        <v>102</v>
      </c>
      <c r="K565" s="3" t="s">
        <v>86</v>
      </c>
      <c r="L565" s="4">
        <v>1</v>
      </c>
      <c r="M565" s="3">
        <v>620</v>
      </c>
      <c r="N565" s="3">
        <v>980</v>
      </c>
      <c r="O565" s="15">
        <f>Bike_Sales[[#This Row],[Order_Quantity]]*Bike_Sales[[#This Row],[Unit_Price]]</f>
        <v>980</v>
      </c>
      <c r="P565" s="15">
        <f>Bike_Sales[[#This Row],[Order_Quantity]]*Bike_Sales[[#This Row],[Unit_Cost]]</f>
        <v>620</v>
      </c>
      <c r="Q565" s="15">
        <f>Bike_Sales[[#This Row],[Total Sales]]-Bike_Sales[[#This Row],[Total Cost]]</f>
        <v>360</v>
      </c>
      <c r="R565" s="17">
        <f>Bike_Sales[[#This Row],[Profit]]/Bike_Sales[[#This Row],[Total Sales]]</f>
        <v>0.36734693877551022</v>
      </c>
      <c r="S565" s="16" t="str">
        <f t="shared" si="8"/>
        <v>35-44</v>
      </c>
    </row>
    <row r="566" spans="1:19" x14ac:dyDescent="0.35">
      <c r="A566" s="2">
        <v>44531</v>
      </c>
      <c r="B566" s="2" t="str">
        <f>TEXT(Bike_Sales[[#This Row],[Date]],"mmmm")</f>
        <v>December</v>
      </c>
      <c r="C566" s="19">
        <f>MONTH(Bike_Sales[[#This Row],[Date]])</f>
        <v>12</v>
      </c>
      <c r="D566" s="2" t="str">
        <f>TEXT(Bike_Sales[[#This Row],[Date]],"dddd")</f>
        <v>Wednesday</v>
      </c>
      <c r="E566" s="3">
        <v>42</v>
      </c>
      <c r="F566" s="3" t="s">
        <v>126</v>
      </c>
      <c r="G566" s="3" t="s">
        <v>9</v>
      </c>
      <c r="H566" s="3" t="s">
        <v>37</v>
      </c>
      <c r="I566" s="3" t="s">
        <v>11</v>
      </c>
      <c r="J566" s="3" t="s">
        <v>101</v>
      </c>
      <c r="K566" s="3" t="s">
        <v>67</v>
      </c>
      <c r="L566" s="4">
        <v>3</v>
      </c>
      <c r="M566" s="3">
        <v>700</v>
      </c>
      <c r="N566" s="3">
        <v>1100</v>
      </c>
      <c r="O566" s="15">
        <f>Bike_Sales[[#This Row],[Order_Quantity]]*Bike_Sales[[#This Row],[Unit_Price]]</f>
        <v>3300</v>
      </c>
      <c r="P566" s="15">
        <f>Bike_Sales[[#This Row],[Order_Quantity]]*Bike_Sales[[#This Row],[Unit_Cost]]</f>
        <v>2100</v>
      </c>
      <c r="Q566" s="15">
        <f>Bike_Sales[[#This Row],[Total Sales]]-Bike_Sales[[#This Row],[Total Cost]]</f>
        <v>1200</v>
      </c>
      <c r="R566" s="17">
        <f>Bike_Sales[[#This Row],[Profit]]/Bike_Sales[[#This Row],[Total Sales]]</f>
        <v>0.36363636363636365</v>
      </c>
      <c r="S566" s="16" t="str">
        <f t="shared" si="8"/>
        <v>35-44</v>
      </c>
    </row>
    <row r="567" spans="1:19" x14ac:dyDescent="0.35">
      <c r="A567" s="2">
        <v>44535</v>
      </c>
      <c r="B567" s="2" t="str">
        <f>TEXT(Bike_Sales[[#This Row],[Date]],"mmmm")</f>
        <v>December</v>
      </c>
      <c r="C567" s="19">
        <f>MONTH(Bike_Sales[[#This Row],[Date]])</f>
        <v>12</v>
      </c>
      <c r="D567" s="2" t="str">
        <f>TEXT(Bike_Sales[[#This Row],[Date]],"dddd")</f>
        <v>Sunday</v>
      </c>
      <c r="E567" s="3">
        <v>42</v>
      </c>
      <c r="F567" s="3" t="s">
        <v>126</v>
      </c>
      <c r="G567" s="3" t="s">
        <v>33</v>
      </c>
      <c r="H567" s="3" t="s">
        <v>136</v>
      </c>
      <c r="I567" s="3" t="s">
        <v>16</v>
      </c>
      <c r="J567" s="3" t="s">
        <v>101</v>
      </c>
      <c r="K567" s="3" t="s">
        <v>17</v>
      </c>
      <c r="L567" s="4">
        <v>4</v>
      </c>
      <c r="M567" s="3">
        <v>550</v>
      </c>
      <c r="N567" s="3">
        <v>850</v>
      </c>
      <c r="O567" s="15">
        <f>Bike_Sales[[#This Row],[Order_Quantity]]*Bike_Sales[[#This Row],[Unit_Price]]</f>
        <v>3400</v>
      </c>
      <c r="P567" s="15">
        <f>Bike_Sales[[#This Row],[Order_Quantity]]*Bike_Sales[[#This Row],[Unit_Cost]]</f>
        <v>2200</v>
      </c>
      <c r="Q567" s="15">
        <f>Bike_Sales[[#This Row],[Total Sales]]-Bike_Sales[[#This Row],[Total Cost]]</f>
        <v>1200</v>
      </c>
      <c r="R567" s="17">
        <f>Bike_Sales[[#This Row],[Profit]]/Bike_Sales[[#This Row],[Total Sales]]</f>
        <v>0.35294117647058826</v>
      </c>
      <c r="S567" s="16" t="str">
        <f t="shared" si="8"/>
        <v>35-44</v>
      </c>
    </row>
    <row r="568" spans="1:19" x14ac:dyDescent="0.35">
      <c r="A568" s="2">
        <v>44539</v>
      </c>
      <c r="B568" s="2" t="str">
        <f>TEXT(Bike_Sales[[#This Row],[Date]],"mmmm")</f>
        <v>December</v>
      </c>
      <c r="C568" s="19">
        <f>MONTH(Bike_Sales[[#This Row],[Date]])</f>
        <v>12</v>
      </c>
      <c r="D568" s="2" t="str">
        <f>TEXT(Bike_Sales[[#This Row],[Date]],"dddd")</f>
        <v>Thursday</v>
      </c>
      <c r="E568" s="3">
        <v>42</v>
      </c>
      <c r="F568" s="3" t="s">
        <v>135</v>
      </c>
      <c r="G568" s="3" t="s">
        <v>18</v>
      </c>
      <c r="H568" s="3" t="s">
        <v>24</v>
      </c>
      <c r="I568" s="3" t="s">
        <v>11</v>
      </c>
      <c r="J568" s="3" t="s">
        <v>102</v>
      </c>
      <c r="K568" s="3" t="s">
        <v>47</v>
      </c>
      <c r="L568" s="4">
        <v>1</v>
      </c>
      <c r="M568" s="3">
        <v>900</v>
      </c>
      <c r="N568" s="3">
        <v>1400</v>
      </c>
      <c r="O568" s="15">
        <f>Bike_Sales[[#This Row],[Order_Quantity]]*Bike_Sales[[#This Row],[Unit_Price]]</f>
        <v>1400</v>
      </c>
      <c r="P568" s="15">
        <f>Bike_Sales[[#This Row],[Order_Quantity]]*Bike_Sales[[#This Row],[Unit_Cost]]</f>
        <v>900</v>
      </c>
      <c r="Q568" s="15">
        <f>Bike_Sales[[#This Row],[Total Sales]]-Bike_Sales[[#This Row],[Total Cost]]</f>
        <v>500</v>
      </c>
      <c r="R568" s="17">
        <f>Bike_Sales[[#This Row],[Profit]]/Bike_Sales[[#This Row],[Total Sales]]</f>
        <v>0.35714285714285715</v>
      </c>
      <c r="S568" s="16" t="str">
        <f t="shared" si="8"/>
        <v>35-44</v>
      </c>
    </row>
    <row r="569" spans="1:19" x14ac:dyDescent="0.35">
      <c r="A569" s="2">
        <v>44539</v>
      </c>
      <c r="B569" s="2" t="str">
        <f>TEXT(Bike_Sales[[#This Row],[Date]],"mmmm")</f>
        <v>December</v>
      </c>
      <c r="C569" s="19">
        <f>MONTH(Bike_Sales[[#This Row],[Date]])</f>
        <v>12</v>
      </c>
      <c r="D569" s="2" t="str">
        <f>TEXT(Bike_Sales[[#This Row],[Date]],"dddd")</f>
        <v>Thursday</v>
      </c>
      <c r="E569" s="3">
        <v>42</v>
      </c>
      <c r="F569" s="3" t="s">
        <v>135</v>
      </c>
      <c r="G569" s="3" t="s">
        <v>33</v>
      </c>
      <c r="H569" s="3" t="s">
        <v>73</v>
      </c>
      <c r="I569" s="3" t="s">
        <v>11</v>
      </c>
      <c r="J569" s="3" t="s">
        <v>102</v>
      </c>
      <c r="K569" s="3" t="s">
        <v>23</v>
      </c>
      <c r="L569" s="4">
        <v>1</v>
      </c>
      <c r="M569" s="3">
        <v>620</v>
      </c>
      <c r="N569" s="3">
        <v>980</v>
      </c>
      <c r="O569" s="15">
        <f>Bike_Sales[[#This Row],[Order_Quantity]]*Bike_Sales[[#This Row],[Unit_Price]]</f>
        <v>980</v>
      </c>
      <c r="P569" s="15">
        <f>Bike_Sales[[#This Row],[Order_Quantity]]*Bike_Sales[[#This Row],[Unit_Cost]]</f>
        <v>620</v>
      </c>
      <c r="Q569" s="15">
        <f>Bike_Sales[[#This Row],[Total Sales]]-Bike_Sales[[#This Row],[Total Cost]]</f>
        <v>360</v>
      </c>
      <c r="R569" s="17">
        <f>Bike_Sales[[#This Row],[Profit]]/Bike_Sales[[#This Row],[Total Sales]]</f>
        <v>0.36734693877551022</v>
      </c>
      <c r="S569" s="16" t="str">
        <f t="shared" si="8"/>
        <v>35-44</v>
      </c>
    </row>
    <row r="570" spans="1:19" x14ac:dyDescent="0.35">
      <c r="A570" s="2">
        <v>44546</v>
      </c>
      <c r="B570" s="2" t="str">
        <f>TEXT(Bike_Sales[[#This Row],[Date]],"mmmm")</f>
        <v>December</v>
      </c>
      <c r="C570" s="19">
        <f>MONTH(Bike_Sales[[#This Row],[Date]])</f>
        <v>12</v>
      </c>
      <c r="D570" s="2" t="str">
        <f>TEXT(Bike_Sales[[#This Row],[Date]],"dddd")</f>
        <v>Thursday</v>
      </c>
      <c r="E570" s="3">
        <v>42</v>
      </c>
      <c r="F570" s="3" t="s">
        <v>135</v>
      </c>
      <c r="G570" s="3" t="s">
        <v>18</v>
      </c>
      <c r="H570" s="3" t="s">
        <v>19</v>
      </c>
      <c r="I570" s="3" t="s">
        <v>11</v>
      </c>
      <c r="J570" s="3" t="s">
        <v>104</v>
      </c>
      <c r="K570" s="3" t="s">
        <v>12</v>
      </c>
      <c r="L570" s="4">
        <v>1</v>
      </c>
      <c r="M570" s="3">
        <v>500</v>
      </c>
      <c r="N570" s="3">
        <v>800</v>
      </c>
      <c r="O570" s="15">
        <f>Bike_Sales[[#This Row],[Order_Quantity]]*Bike_Sales[[#This Row],[Unit_Price]]</f>
        <v>800</v>
      </c>
      <c r="P570" s="15">
        <f>Bike_Sales[[#This Row],[Order_Quantity]]*Bike_Sales[[#This Row],[Unit_Cost]]</f>
        <v>500</v>
      </c>
      <c r="Q570" s="15">
        <f>Bike_Sales[[#This Row],[Total Sales]]-Bike_Sales[[#This Row],[Total Cost]]</f>
        <v>300</v>
      </c>
      <c r="R570" s="17">
        <f>Bike_Sales[[#This Row],[Profit]]/Bike_Sales[[#This Row],[Total Sales]]</f>
        <v>0.375</v>
      </c>
      <c r="S570" s="16" t="str">
        <f t="shared" si="8"/>
        <v>35-44</v>
      </c>
    </row>
    <row r="571" spans="1:19" x14ac:dyDescent="0.35">
      <c r="A571" s="2">
        <v>44547</v>
      </c>
      <c r="B571" s="2" t="str">
        <f>TEXT(Bike_Sales[[#This Row],[Date]],"mmmm")</f>
        <v>December</v>
      </c>
      <c r="C571" s="19">
        <f>MONTH(Bike_Sales[[#This Row],[Date]])</f>
        <v>12</v>
      </c>
      <c r="D571" s="2" t="str">
        <f>TEXT(Bike_Sales[[#This Row],[Date]],"dddd")</f>
        <v>Friday</v>
      </c>
      <c r="E571" s="3">
        <v>42</v>
      </c>
      <c r="F571" s="3" t="s">
        <v>135</v>
      </c>
      <c r="G571" s="3" t="s">
        <v>18</v>
      </c>
      <c r="H571" s="3" t="s">
        <v>35</v>
      </c>
      <c r="I571" s="3" t="s">
        <v>11</v>
      </c>
      <c r="J571" s="3" t="s">
        <v>101</v>
      </c>
      <c r="K571" s="3" t="s">
        <v>32</v>
      </c>
      <c r="L571" s="4">
        <v>4</v>
      </c>
      <c r="M571" s="3">
        <v>700</v>
      </c>
      <c r="N571" s="3">
        <v>1100</v>
      </c>
      <c r="O571" s="15">
        <f>Bike_Sales[[#This Row],[Order_Quantity]]*Bike_Sales[[#This Row],[Unit_Price]]</f>
        <v>4400</v>
      </c>
      <c r="P571" s="15">
        <f>Bike_Sales[[#This Row],[Order_Quantity]]*Bike_Sales[[#This Row],[Unit_Cost]]</f>
        <v>2800</v>
      </c>
      <c r="Q571" s="15">
        <f>Bike_Sales[[#This Row],[Total Sales]]-Bike_Sales[[#This Row],[Total Cost]]</f>
        <v>1600</v>
      </c>
      <c r="R571" s="17">
        <f>Bike_Sales[[#This Row],[Profit]]/Bike_Sales[[#This Row],[Total Sales]]</f>
        <v>0.36363636363636365</v>
      </c>
      <c r="S571" s="16" t="str">
        <f t="shared" si="8"/>
        <v>35-44</v>
      </c>
    </row>
    <row r="572" spans="1:19" x14ac:dyDescent="0.35">
      <c r="A572" s="2">
        <v>44547</v>
      </c>
      <c r="B572" s="2" t="str">
        <f>TEXT(Bike_Sales[[#This Row],[Date]],"mmmm")</f>
        <v>December</v>
      </c>
      <c r="C572" s="19">
        <f>MONTH(Bike_Sales[[#This Row],[Date]])</f>
        <v>12</v>
      </c>
      <c r="D572" s="2" t="str">
        <f>TEXT(Bike_Sales[[#This Row],[Date]],"dddd")</f>
        <v>Friday</v>
      </c>
      <c r="E572" s="3">
        <v>42</v>
      </c>
      <c r="F572" s="3" t="s">
        <v>135</v>
      </c>
      <c r="G572" s="3" t="s">
        <v>33</v>
      </c>
      <c r="H572" s="3" t="s">
        <v>136</v>
      </c>
      <c r="I572" s="3" t="s">
        <v>16</v>
      </c>
      <c r="J572" s="3" t="s">
        <v>103</v>
      </c>
      <c r="K572" s="3" t="s">
        <v>50</v>
      </c>
      <c r="L572" s="4">
        <v>1</v>
      </c>
      <c r="M572" s="3">
        <v>550</v>
      </c>
      <c r="N572" s="3">
        <v>850</v>
      </c>
      <c r="O572" s="15">
        <f>Bike_Sales[[#This Row],[Order_Quantity]]*Bike_Sales[[#This Row],[Unit_Price]]</f>
        <v>850</v>
      </c>
      <c r="P572" s="15">
        <f>Bike_Sales[[#This Row],[Order_Quantity]]*Bike_Sales[[#This Row],[Unit_Cost]]</f>
        <v>550</v>
      </c>
      <c r="Q572" s="15">
        <f>Bike_Sales[[#This Row],[Total Sales]]-Bike_Sales[[#This Row],[Total Cost]]</f>
        <v>300</v>
      </c>
      <c r="R572" s="17">
        <f>Bike_Sales[[#This Row],[Profit]]/Bike_Sales[[#This Row],[Total Sales]]</f>
        <v>0.35294117647058826</v>
      </c>
      <c r="S572" s="16" t="str">
        <f t="shared" si="8"/>
        <v>35-44</v>
      </c>
    </row>
    <row r="573" spans="1:19" x14ac:dyDescent="0.35">
      <c r="A573" s="2">
        <v>44547</v>
      </c>
      <c r="B573" s="2" t="str">
        <f>TEXT(Bike_Sales[[#This Row],[Date]],"mmmm")</f>
        <v>December</v>
      </c>
      <c r="C573" s="19">
        <f>MONTH(Bike_Sales[[#This Row],[Date]])</f>
        <v>12</v>
      </c>
      <c r="D573" s="2" t="str">
        <f>TEXT(Bike_Sales[[#This Row],[Date]],"dddd")</f>
        <v>Friday</v>
      </c>
      <c r="E573" s="3">
        <v>42</v>
      </c>
      <c r="F573" s="3" t="s">
        <v>135</v>
      </c>
      <c r="G573" s="3" t="s">
        <v>18</v>
      </c>
      <c r="H573" s="3" t="s">
        <v>19</v>
      </c>
      <c r="I573" s="3" t="s">
        <v>11</v>
      </c>
      <c r="J573" s="3" t="s">
        <v>104</v>
      </c>
      <c r="K573" s="3" t="s">
        <v>12</v>
      </c>
      <c r="L573" s="4">
        <v>1</v>
      </c>
      <c r="M573" s="3">
        <v>500</v>
      </c>
      <c r="N573" s="3">
        <v>800</v>
      </c>
      <c r="O573" s="15">
        <f>Bike_Sales[[#This Row],[Order_Quantity]]*Bike_Sales[[#This Row],[Unit_Price]]</f>
        <v>800</v>
      </c>
      <c r="P573" s="15">
        <f>Bike_Sales[[#This Row],[Order_Quantity]]*Bike_Sales[[#This Row],[Unit_Cost]]</f>
        <v>500</v>
      </c>
      <c r="Q573" s="15">
        <f>Bike_Sales[[#This Row],[Total Sales]]-Bike_Sales[[#This Row],[Total Cost]]</f>
        <v>300</v>
      </c>
      <c r="R573" s="17">
        <f>Bike_Sales[[#This Row],[Profit]]/Bike_Sales[[#This Row],[Total Sales]]</f>
        <v>0.375</v>
      </c>
      <c r="S573" s="16" t="str">
        <f t="shared" si="8"/>
        <v>35-44</v>
      </c>
    </row>
    <row r="574" spans="1:19" x14ac:dyDescent="0.35">
      <c r="A574" s="2">
        <v>44550</v>
      </c>
      <c r="B574" s="2" t="str">
        <f>TEXT(Bike_Sales[[#This Row],[Date]],"mmmm")</f>
        <v>December</v>
      </c>
      <c r="C574" s="19">
        <f>MONTH(Bike_Sales[[#This Row],[Date]])</f>
        <v>12</v>
      </c>
      <c r="D574" s="2" t="str">
        <f>TEXT(Bike_Sales[[#This Row],[Date]],"dddd")</f>
        <v>Monday</v>
      </c>
      <c r="E574" s="3">
        <v>42</v>
      </c>
      <c r="F574" s="3" t="s">
        <v>126</v>
      </c>
      <c r="G574" s="3" t="s">
        <v>18</v>
      </c>
      <c r="H574" s="3" t="s">
        <v>24</v>
      </c>
      <c r="I574" s="3" t="s">
        <v>11</v>
      </c>
      <c r="J574" s="3" t="s">
        <v>102</v>
      </c>
      <c r="K574" s="3" t="s">
        <v>66</v>
      </c>
      <c r="L574" s="4">
        <v>3</v>
      </c>
      <c r="M574" s="3">
        <v>900</v>
      </c>
      <c r="N574" s="3">
        <v>1400</v>
      </c>
      <c r="O574" s="15">
        <f>Bike_Sales[[#This Row],[Order_Quantity]]*Bike_Sales[[#This Row],[Unit_Price]]</f>
        <v>4200</v>
      </c>
      <c r="P574" s="15">
        <f>Bike_Sales[[#This Row],[Order_Quantity]]*Bike_Sales[[#This Row],[Unit_Cost]]</f>
        <v>2700</v>
      </c>
      <c r="Q574" s="15">
        <f>Bike_Sales[[#This Row],[Total Sales]]-Bike_Sales[[#This Row],[Total Cost]]</f>
        <v>1500</v>
      </c>
      <c r="R574" s="17">
        <f>Bike_Sales[[#This Row],[Profit]]/Bike_Sales[[#This Row],[Total Sales]]</f>
        <v>0.35714285714285715</v>
      </c>
      <c r="S574" s="16" t="str">
        <f t="shared" si="8"/>
        <v>35-44</v>
      </c>
    </row>
    <row r="575" spans="1:19" x14ac:dyDescent="0.35">
      <c r="A575" s="2">
        <v>44552</v>
      </c>
      <c r="B575" s="2" t="str">
        <f>TEXT(Bike_Sales[[#This Row],[Date]],"mmmm")</f>
        <v>December</v>
      </c>
      <c r="C575" s="19">
        <f>MONTH(Bike_Sales[[#This Row],[Date]])</f>
        <v>12</v>
      </c>
      <c r="D575" s="2" t="str">
        <f>TEXT(Bike_Sales[[#This Row],[Date]],"dddd")</f>
        <v>Wednesday</v>
      </c>
      <c r="E575" s="3">
        <v>42</v>
      </c>
      <c r="F575" s="3" t="s">
        <v>126</v>
      </c>
      <c r="G575" s="3" t="s">
        <v>129</v>
      </c>
      <c r="H575" s="3" t="s">
        <v>15</v>
      </c>
      <c r="I575" s="3" t="s">
        <v>11</v>
      </c>
      <c r="J575" s="3" t="s">
        <v>102</v>
      </c>
      <c r="K575" s="3" t="s">
        <v>86</v>
      </c>
      <c r="L575" s="4">
        <v>1</v>
      </c>
      <c r="M575" s="3">
        <v>620</v>
      </c>
      <c r="N575" s="3">
        <v>980</v>
      </c>
      <c r="O575" s="15">
        <f>Bike_Sales[[#This Row],[Order_Quantity]]*Bike_Sales[[#This Row],[Unit_Price]]</f>
        <v>980</v>
      </c>
      <c r="P575" s="15">
        <f>Bike_Sales[[#This Row],[Order_Quantity]]*Bike_Sales[[#This Row],[Unit_Cost]]</f>
        <v>620</v>
      </c>
      <c r="Q575" s="15">
        <f>Bike_Sales[[#This Row],[Total Sales]]-Bike_Sales[[#This Row],[Total Cost]]</f>
        <v>360</v>
      </c>
      <c r="R575" s="17">
        <f>Bike_Sales[[#This Row],[Profit]]/Bike_Sales[[#This Row],[Total Sales]]</f>
        <v>0.36734693877551022</v>
      </c>
      <c r="S575" s="16" t="str">
        <f t="shared" si="8"/>
        <v>35-44</v>
      </c>
    </row>
    <row r="576" spans="1:19" x14ac:dyDescent="0.35">
      <c r="A576" s="2">
        <v>44556</v>
      </c>
      <c r="B576" s="2" t="str">
        <f>TEXT(Bike_Sales[[#This Row],[Date]],"mmmm")</f>
        <v>December</v>
      </c>
      <c r="C576" s="19">
        <f>MONTH(Bike_Sales[[#This Row],[Date]])</f>
        <v>12</v>
      </c>
      <c r="D576" s="2" t="str">
        <f>TEXT(Bike_Sales[[#This Row],[Date]],"dddd")</f>
        <v>Sunday</v>
      </c>
      <c r="E576" s="3">
        <v>42</v>
      </c>
      <c r="F576" s="3" t="s">
        <v>126</v>
      </c>
      <c r="G576" s="3" t="s">
        <v>9</v>
      </c>
      <c r="H576" s="3" t="s">
        <v>37</v>
      </c>
      <c r="I576" s="3" t="s">
        <v>11</v>
      </c>
      <c r="J576" s="3" t="s">
        <v>101</v>
      </c>
      <c r="K576" s="3" t="s">
        <v>67</v>
      </c>
      <c r="L576" s="4">
        <v>1</v>
      </c>
      <c r="M576" s="3">
        <v>700</v>
      </c>
      <c r="N576" s="3">
        <v>1100</v>
      </c>
      <c r="O576" s="15">
        <f>Bike_Sales[[#This Row],[Order_Quantity]]*Bike_Sales[[#This Row],[Unit_Price]]</f>
        <v>1100</v>
      </c>
      <c r="P576" s="15">
        <f>Bike_Sales[[#This Row],[Order_Quantity]]*Bike_Sales[[#This Row],[Unit_Cost]]</f>
        <v>700</v>
      </c>
      <c r="Q576" s="15">
        <f>Bike_Sales[[#This Row],[Total Sales]]-Bike_Sales[[#This Row],[Total Cost]]</f>
        <v>400</v>
      </c>
      <c r="R576" s="17">
        <f>Bike_Sales[[#This Row],[Profit]]/Bike_Sales[[#This Row],[Total Sales]]</f>
        <v>0.36363636363636365</v>
      </c>
      <c r="S576" s="16" t="str">
        <f t="shared" si="8"/>
        <v>35-44</v>
      </c>
    </row>
    <row r="577" spans="1:19" x14ac:dyDescent="0.35">
      <c r="A577" s="2">
        <v>44557</v>
      </c>
      <c r="B577" s="2" t="str">
        <f>TEXT(Bike_Sales[[#This Row],[Date]],"mmmm")</f>
        <v>December</v>
      </c>
      <c r="C577" s="19">
        <f>MONTH(Bike_Sales[[#This Row],[Date]])</f>
        <v>12</v>
      </c>
      <c r="D577" s="2" t="str">
        <f>TEXT(Bike_Sales[[#This Row],[Date]],"dddd")</f>
        <v>Monday</v>
      </c>
      <c r="E577" s="3">
        <v>42</v>
      </c>
      <c r="F577" s="3" t="s">
        <v>135</v>
      </c>
      <c r="G577" s="3" t="s">
        <v>9</v>
      </c>
      <c r="H577" s="3" t="s">
        <v>10</v>
      </c>
      <c r="I577" s="3" t="s">
        <v>11</v>
      </c>
      <c r="J577" s="3" t="s">
        <v>101</v>
      </c>
      <c r="K577" s="3" t="s">
        <v>46</v>
      </c>
      <c r="L577" s="4">
        <v>1</v>
      </c>
      <c r="M577" s="3">
        <v>580</v>
      </c>
      <c r="N577" s="3">
        <v>920</v>
      </c>
      <c r="O577" s="15">
        <f>Bike_Sales[[#This Row],[Order_Quantity]]*Bike_Sales[[#This Row],[Unit_Price]]</f>
        <v>920</v>
      </c>
      <c r="P577" s="15">
        <f>Bike_Sales[[#This Row],[Order_Quantity]]*Bike_Sales[[#This Row],[Unit_Cost]]</f>
        <v>580</v>
      </c>
      <c r="Q577" s="15">
        <f>Bike_Sales[[#This Row],[Total Sales]]-Bike_Sales[[#This Row],[Total Cost]]</f>
        <v>340</v>
      </c>
      <c r="R577" s="17">
        <f>Bike_Sales[[#This Row],[Profit]]/Bike_Sales[[#This Row],[Total Sales]]</f>
        <v>0.36956521739130432</v>
      </c>
      <c r="S577" s="16" t="str">
        <f t="shared" si="8"/>
        <v>35-44</v>
      </c>
    </row>
    <row r="578" spans="1:19" x14ac:dyDescent="0.35">
      <c r="A578" s="2">
        <v>44471</v>
      </c>
      <c r="B578" s="2" t="str">
        <f>TEXT(Bike_Sales[[#This Row],[Date]],"mmmm")</f>
        <v>October</v>
      </c>
      <c r="C578" s="19">
        <f>MONTH(Bike_Sales[[#This Row],[Date]])</f>
        <v>10</v>
      </c>
      <c r="D578" s="2" t="str">
        <f>TEXT(Bike_Sales[[#This Row],[Date]],"dddd")</f>
        <v>Saturday</v>
      </c>
      <c r="E578" s="3">
        <v>43</v>
      </c>
      <c r="F578" s="3" t="s">
        <v>126</v>
      </c>
      <c r="G578" s="3" t="s">
        <v>18</v>
      </c>
      <c r="H578" s="3" t="s">
        <v>24</v>
      </c>
      <c r="I578" s="3" t="s">
        <v>11</v>
      </c>
      <c r="J578" s="3" t="s">
        <v>102</v>
      </c>
      <c r="K578" s="3" t="s">
        <v>29</v>
      </c>
      <c r="L578" s="4">
        <v>1</v>
      </c>
      <c r="M578" s="3">
        <v>900</v>
      </c>
      <c r="N578" s="3">
        <v>1400</v>
      </c>
      <c r="O578" s="15">
        <f>Bike_Sales[[#This Row],[Order_Quantity]]*Bike_Sales[[#This Row],[Unit_Price]]</f>
        <v>1400</v>
      </c>
      <c r="P578" s="15">
        <f>Bike_Sales[[#This Row],[Order_Quantity]]*Bike_Sales[[#This Row],[Unit_Cost]]</f>
        <v>900</v>
      </c>
      <c r="Q578" s="15">
        <f>Bike_Sales[[#This Row],[Total Sales]]-Bike_Sales[[#This Row],[Total Cost]]</f>
        <v>500</v>
      </c>
      <c r="R578" s="17">
        <f>Bike_Sales[[#This Row],[Profit]]/Bike_Sales[[#This Row],[Total Sales]]</f>
        <v>0.35714285714285715</v>
      </c>
      <c r="S578" s="16" t="str">
        <f t="shared" ref="S578:S641" si="9">IF(E578&lt;25,"Under 25",IF(E578&lt;35,"25-34",IF(E578&lt;45,"35-44",IF(E578&lt;55,"45-54","55+"))))</f>
        <v>35-44</v>
      </c>
    </row>
    <row r="579" spans="1:19" x14ac:dyDescent="0.35">
      <c r="A579" s="2">
        <v>44476</v>
      </c>
      <c r="B579" s="2" t="str">
        <f>TEXT(Bike_Sales[[#This Row],[Date]],"mmmm")</f>
        <v>October</v>
      </c>
      <c r="C579" s="19">
        <f>MONTH(Bike_Sales[[#This Row],[Date]])</f>
        <v>10</v>
      </c>
      <c r="D579" s="2" t="str">
        <f>TEXT(Bike_Sales[[#This Row],[Date]],"dddd")</f>
        <v>Thursday</v>
      </c>
      <c r="E579" s="3">
        <v>43</v>
      </c>
      <c r="F579" s="3" t="s">
        <v>126</v>
      </c>
      <c r="G579" s="3" t="s">
        <v>18</v>
      </c>
      <c r="H579" s="3" t="s">
        <v>24</v>
      </c>
      <c r="I579" s="3" t="s">
        <v>11</v>
      </c>
      <c r="J579" s="3" t="s">
        <v>102</v>
      </c>
      <c r="K579" s="3" t="s">
        <v>29</v>
      </c>
      <c r="L579" s="4">
        <v>4</v>
      </c>
      <c r="M579" s="3">
        <v>900</v>
      </c>
      <c r="N579" s="3">
        <v>1400</v>
      </c>
      <c r="O579" s="15">
        <f>Bike_Sales[[#This Row],[Order_Quantity]]*Bike_Sales[[#This Row],[Unit_Price]]</f>
        <v>5600</v>
      </c>
      <c r="P579" s="15">
        <f>Bike_Sales[[#This Row],[Order_Quantity]]*Bike_Sales[[#This Row],[Unit_Cost]]</f>
        <v>3600</v>
      </c>
      <c r="Q579" s="15">
        <f>Bike_Sales[[#This Row],[Total Sales]]-Bike_Sales[[#This Row],[Total Cost]]</f>
        <v>2000</v>
      </c>
      <c r="R579" s="17">
        <f>Bike_Sales[[#This Row],[Profit]]/Bike_Sales[[#This Row],[Total Sales]]</f>
        <v>0.35714285714285715</v>
      </c>
      <c r="S579" s="16" t="str">
        <f t="shared" si="9"/>
        <v>35-44</v>
      </c>
    </row>
    <row r="580" spans="1:19" x14ac:dyDescent="0.35">
      <c r="A580" s="2">
        <v>44478</v>
      </c>
      <c r="B580" s="2" t="str">
        <f>TEXT(Bike_Sales[[#This Row],[Date]],"mmmm")</f>
        <v>October</v>
      </c>
      <c r="C580" s="19">
        <f>MONTH(Bike_Sales[[#This Row],[Date]])</f>
        <v>10</v>
      </c>
      <c r="D580" s="2" t="str">
        <f>TEXT(Bike_Sales[[#This Row],[Date]],"dddd")</f>
        <v>Saturday</v>
      </c>
      <c r="E580" s="3">
        <v>43</v>
      </c>
      <c r="F580" s="3" t="s">
        <v>126</v>
      </c>
      <c r="G580" s="3" t="s">
        <v>129</v>
      </c>
      <c r="H580" s="3" t="s">
        <v>15</v>
      </c>
      <c r="I580" s="3" t="s">
        <v>11</v>
      </c>
      <c r="J580" s="3" t="s">
        <v>104</v>
      </c>
      <c r="K580" s="3" t="s">
        <v>34</v>
      </c>
      <c r="L580" s="4">
        <v>2</v>
      </c>
      <c r="M580" s="3">
        <v>500</v>
      </c>
      <c r="N580" s="3">
        <v>800</v>
      </c>
      <c r="O580" s="15">
        <f>Bike_Sales[[#This Row],[Order_Quantity]]*Bike_Sales[[#This Row],[Unit_Price]]</f>
        <v>1600</v>
      </c>
      <c r="P580" s="15">
        <f>Bike_Sales[[#This Row],[Order_Quantity]]*Bike_Sales[[#This Row],[Unit_Cost]]</f>
        <v>1000</v>
      </c>
      <c r="Q580" s="15">
        <f>Bike_Sales[[#This Row],[Total Sales]]-Bike_Sales[[#This Row],[Total Cost]]</f>
        <v>600</v>
      </c>
      <c r="R580" s="17">
        <f>Bike_Sales[[#This Row],[Profit]]/Bike_Sales[[#This Row],[Total Sales]]</f>
        <v>0.375</v>
      </c>
      <c r="S580" s="16" t="str">
        <f t="shared" si="9"/>
        <v>35-44</v>
      </c>
    </row>
    <row r="581" spans="1:19" x14ac:dyDescent="0.35">
      <c r="A581" s="2">
        <v>44482</v>
      </c>
      <c r="B581" s="2" t="str">
        <f>TEXT(Bike_Sales[[#This Row],[Date]],"mmmm")</f>
        <v>October</v>
      </c>
      <c r="C581" s="19">
        <f>MONTH(Bike_Sales[[#This Row],[Date]])</f>
        <v>10</v>
      </c>
      <c r="D581" s="2" t="str">
        <f>TEXT(Bike_Sales[[#This Row],[Date]],"dddd")</f>
        <v>Wednesday</v>
      </c>
      <c r="E581" s="3">
        <v>43</v>
      </c>
      <c r="F581" s="3" t="s">
        <v>126</v>
      </c>
      <c r="G581" s="3" t="s">
        <v>18</v>
      </c>
      <c r="H581" s="3" t="s">
        <v>24</v>
      </c>
      <c r="I581" s="3" t="s">
        <v>16</v>
      </c>
      <c r="J581" s="3" t="s">
        <v>101</v>
      </c>
      <c r="K581" s="3" t="s">
        <v>25</v>
      </c>
      <c r="L581" s="4">
        <v>3</v>
      </c>
      <c r="M581" s="3">
        <v>550</v>
      </c>
      <c r="N581" s="3">
        <v>850</v>
      </c>
      <c r="O581" s="15">
        <f>Bike_Sales[[#This Row],[Order_Quantity]]*Bike_Sales[[#This Row],[Unit_Price]]</f>
        <v>2550</v>
      </c>
      <c r="P581" s="15">
        <f>Bike_Sales[[#This Row],[Order_Quantity]]*Bike_Sales[[#This Row],[Unit_Cost]]</f>
        <v>1650</v>
      </c>
      <c r="Q581" s="15">
        <f>Bike_Sales[[#This Row],[Total Sales]]-Bike_Sales[[#This Row],[Total Cost]]</f>
        <v>900</v>
      </c>
      <c r="R581" s="17">
        <f>Bike_Sales[[#This Row],[Profit]]/Bike_Sales[[#This Row],[Total Sales]]</f>
        <v>0.35294117647058826</v>
      </c>
      <c r="S581" s="16" t="str">
        <f t="shared" si="9"/>
        <v>35-44</v>
      </c>
    </row>
    <row r="582" spans="1:19" x14ac:dyDescent="0.35">
      <c r="A582" s="2">
        <v>44484</v>
      </c>
      <c r="B582" s="2" t="str">
        <f>TEXT(Bike_Sales[[#This Row],[Date]],"mmmm")</f>
        <v>October</v>
      </c>
      <c r="C582" s="19">
        <f>MONTH(Bike_Sales[[#This Row],[Date]])</f>
        <v>10</v>
      </c>
      <c r="D582" s="2" t="str">
        <f>TEXT(Bike_Sales[[#This Row],[Date]],"dddd")</f>
        <v>Friday</v>
      </c>
      <c r="E582" s="3">
        <v>43</v>
      </c>
      <c r="F582" s="3" t="s">
        <v>135</v>
      </c>
      <c r="G582" s="3" t="s">
        <v>9</v>
      </c>
      <c r="H582" s="3" t="s">
        <v>37</v>
      </c>
      <c r="I582" s="3" t="s">
        <v>11</v>
      </c>
      <c r="J582" s="3" t="s">
        <v>102</v>
      </c>
      <c r="K582" s="3" t="s">
        <v>47</v>
      </c>
      <c r="L582" s="4">
        <v>3</v>
      </c>
      <c r="M582" s="3">
        <v>900</v>
      </c>
      <c r="N582" s="3">
        <v>1400</v>
      </c>
      <c r="O582" s="15">
        <f>Bike_Sales[[#This Row],[Order_Quantity]]*Bike_Sales[[#This Row],[Unit_Price]]</f>
        <v>4200</v>
      </c>
      <c r="P582" s="15">
        <f>Bike_Sales[[#This Row],[Order_Quantity]]*Bike_Sales[[#This Row],[Unit_Cost]]</f>
        <v>2700</v>
      </c>
      <c r="Q582" s="15">
        <f>Bike_Sales[[#This Row],[Total Sales]]-Bike_Sales[[#This Row],[Total Cost]]</f>
        <v>1500</v>
      </c>
      <c r="R582" s="17">
        <f>Bike_Sales[[#This Row],[Profit]]/Bike_Sales[[#This Row],[Total Sales]]</f>
        <v>0.35714285714285715</v>
      </c>
      <c r="S582" s="16" t="str">
        <f t="shared" si="9"/>
        <v>35-44</v>
      </c>
    </row>
    <row r="583" spans="1:19" x14ac:dyDescent="0.35">
      <c r="A583" s="2">
        <v>44492</v>
      </c>
      <c r="B583" s="2" t="str">
        <f>TEXT(Bike_Sales[[#This Row],[Date]],"mmmm")</f>
        <v>October</v>
      </c>
      <c r="C583" s="19">
        <f>MONTH(Bike_Sales[[#This Row],[Date]])</f>
        <v>10</v>
      </c>
      <c r="D583" s="2" t="str">
        <f>TEXT(Bike_Sales[[#This Row],[Date]],"dddd")</f>
        <v>Saturday</v>
      </c>
      <c r="E583" s="3">
        <v>43</v>
      </c>
      <c r="F583" s="3" t="s">
        <v>126</v>
      </c>
      <c r="G583" s="3" t="s">
        <v>39</v>
      </c>
      <c r="H583" s="3" t="s">
        <v>76</v>
      </c>
      <c r="I583" s="3" t="s">
        <v>11</v>
      </c>
      <c r="J583" s="3" t="s">
        <v>101</v>
      </c>
      <c r="K583" s="3" t="s">
        <v>46</v>
      </c>
      <c r="L583" s="4">
        <v>1</v>
      </c>
      <c r="M583" s="3">
        <v>580</v>
      </c>
      <c r="N583" s="3">
        <v>920</v>
      </c>
      <c r="O583" s="15">
        <f>Bike_Sales[[#This Row],[Order_Quantity]]*Bike_Sales[[#This Row],[Unit_Price]]</f>
        <v>920</v>
      </c>
      <c r="P583" s="15">
        <f>Bike_Sales[[#This Row],[Order_Quantity]]*Bike_Sales[[#This Row],[Unit_Cost]]</f>
        <v>580</v>
      </c>
      <c r="Q583" s="15">
        <f>Bike_Sales[[#This Row],[Total Sales]]-Bike_Sales[[#This Row],[Total Cost]]</f>
        <v>340</v>
      </c>
      <c r="R583" s="17">
        <f>Bike_Sales[[#This Row],[Profit]]/Bike_Sales[[#This Row],[Total Sales]]</f>
        <v>0.36956521739130432</v>
      </c>
      <c r="S583" s="16" t="str">
        <f t="shared" si="9"/>
        <v>35-44</v>
      </c>
    </row>
    <row r="584" spans="1:19" x14ac:dyDescent="0.35">
      <c r="A584" s="2">
        <v>44499</v>
      </c>
      <c r="B584" s="2" t="str">
        <f>TEXT(Bike_Sales[[#This Row],[Date]],"mmmm")</f>
        <v>October</v>
      </c>
      <c r="C584" s="19">
        <f>MONTH(Bike_Sales[[#This Row],[Date]])</f>
        <v>10</v>
      </c>
      <c r="D584" s="2" t="str">
        <f>TEXT(Bike_Sales[[#This Row],[Date]],"dddd")</f>
        <v>Saturday</v>
      </c>
      <c r="E584" s="3">
        <v>43</v>
      </c>
      <c r="F584" s="3" t="s">
        <v>135</v>
      </c>
      <c r="G584" s="3" t="s">
        <v>9</v>
      </c>
      <c r="H584" s="3" t="s">
        <v>10</v>
      </c>
      <c r="I584" s="3" t="s">
        <v>11</v>
      </c>
      <c r="J584" s="3" t="s">
        <v>102</v>
      </c>
      <c r="K584" s="3" t="s">
        <v>66</v>
      </c>
      <c r="L584" s="4">
        <v>1</v>
      </c>
      <c r="M584" s="3">
        <v>900</v>
      </c>
      <c r="N584" s="3">
        <v>1400</v>
      </c>
      <c r="O584" s="15">
        <f>Bike_Sales[[#This Row],[Order_Quantity]]*Bike_Sales[[#This Row],[Unit_Price]]</f>
        <v>1400</v>
      </c>
      <c r="P584" s="15">
        <f>Bike_Sales[[#This Row],[Order_Quantity]]*Bike_Sales[[#This Row],[Unit_Cost]]</f>
        <v>900</v>
      </c>
      <c r="Q584" s="15">
        <f>Bike_Sales[[#This Row],[Total Sales]]-Bike_Sales[[#This Row],[Total Cost]]</f>
        <v>500</v>
      </c>
      <c r="R584" s="17">
        <f>Bike_Sales[[#This Row],[Profit]]/Bike_Sales[[#This Row],[Total Sales]]</f>
        <v>0.35714285714285715</v>
      </c>
      <c r="S584" s="16" t="str">
        <f t="shared" si="9"/>
        <v>35-44</v>
      </c>
    </row>
    <row r="585" spans="1:19" x14ac:dyDescent="0.35">
      <c r="A585" s="2">
        <v>44537</v>
      </c>
      <c r="B585" s="2" t="str">
        <f>TEXT(Bike_Sales[[#This Row],[Date]],"mmmm")</f>
        <v>December</v>
      </c>
      <c r="C585" s="19">
        <f>MONTH(Bike_Sales[[#This Row],[Date]])</f>
        <v>12</v>
      </c>
      <c r="D585" s="2" t="str">
        <f>TEXT(Bike_Sales[[#This Row],[Date]],"dddd")</f>
        <v>Tuesday</v>
      </c>
      <c r="E585" s="3">
        <v>43</v>
      </c>
      <c r="F585" s="3" t="s">
        <v>135</v>
      </c>
      <c r="G585" s="3" t="s">
        <v>9</v>
      </c>
      <c r="H585" s="3" t="s">
        <v>10</v>
      </c>
      <c r="I585" s="3" t="s">
        <v>11</v>
      </c>
      <c r="J585" s="3" t="s">
        <v>102</v>
      </c>
      <c r="K585" s="3" t="s">
        <v>66</v>
      </c>
      <c r="L585" s="4">
        <v>2</v>
      </c>
      <c r="M585" s="3">
        <v>900</v>
      </c>
      <c r="N585" s="3">
        <v>1400</v>
      </c>
      <c r="O585" s="15">
        <f>Bike_Sales[[#This Row],[Order_Quantity]]*Bike_Sales[[#This Row],[Unit_Price]]</f>
        <v>2800</v>
      </c>
      <c r="P585" s="15">
        <f>Bike_Sales[[#This Row],[Order_Quantity]]*Bike_Sales[[#This Row],[Unit_Cost]]</f>
        <v>1800</v>
      </c>
      <c r="Q585" s="15">
        <f>Bike_Sales[[#This Row],[Total Sales]]-Bike_Sales[[#This Row],[Total Cost]]</f>
        <v>1000</v>
      </c>
      <c r="R585" s="17">
        <f>Bike_Sales[[#This Row],[Profit]]/Bike_Sales[[#This Row],[Total Sales]]</f>
        <v>0.35714285714285715</v>
      </c>
      <c r="S585" s="16" t="str">
        <f t="shared" si="9"/>
        <v>35-44</v>
      </c>
    </row>
    <row r="586" spans="1:19" x14ac:dyDescent="0.35">
      <c r="A586" s="2">
        <v>44537</v>
      </c>
      <c r="B586" s="2" t="str">
        <f>TEXT(Bike_Sales[[#This Row],[Date]],"mmmm")</f>
        <v>December</v>
      </c>
      <c r="C586" s="19">
        <f>MONTH(Bike_Sales[[#This Row],[Date]])</f>
        <v>12</v>
      </c>
      <c r="D586" s="2" t="str">
        <f>TEXT(Bike_Sales[[#This Row],[Date]],"dddd")</f>
        <v>Tuesday</v>
      </c>
      <c r="E586" s="3">
        <v>43</v>
      </c>
      <c r="F586" s="3" t="s">
        <v>126</v>
      </c>
      <c r="G586" s="3" t="s">
        <v>18</v>
      </c>
      <c r="H586" s="3" t="s">
        <v>19</v>
      </c>
      <c r="I586" s="3" t="s">
        <v>11</v>
      </c>
      <c r="J586" s="3" t="s">
        <v>102</v>
      </c>
      <c r="K586" s="3" t="s">
        <v>29</v>
      </c>
      <c r="L586" s="4">
        <v>1</v>
      </c>
      <c r="M586" s="3">
        <v>900</v>
      </c>
      <c r="N586" s="3">
        <v>1400</v>
      </c>
      <c r="O586" s="15">
        <f>Bike_Sales[[#This Row],[Order_Quantity]]*Bike_Sales[[#This Row],[Unit_Price]]</f>
        <v>1400</v>
      </c>
      <c r="P586" s="15">
        <f>Bike_Sales[[#This Row],[Order_Quantity]]*Bike_Sales[[#This Row],[Unit_Cost]]</f>
        <v>900</v>
      </c>
      <c r="Q586" s="15">
        <f>Bike_Sales[[#This Row],[Total Sales]]-Bike_Sales[[#This Row],[Total Cost]]</f>
        <v>500</v>
      </c>
      <c r="R586" s="17">
        <f>Bike_Sales[[#This Row],[Profit]]/Bike_Sales[[#This Row],[Total Sales]]</f>
        <v>0.35714285714285715</v>
      </c>
      <c r="S586" s="16" t="str">
        <f t="shared" si="9"/>
        <v>35-44</v>
      </c>
    </row>
    <row r="587" spans="1:19" x14ac:dyDescent="0.35">
      <c r="A587" s="2">
        <v>44540</v>
      </c>
      <c r="B587" s="2" t="str">
        <f>TEXT(Bike_Sales[[#This Row],[Date]],"mmmm")</f>
        <v>December</v>
      </c>
      <c r="C587" s="19">
        <f>MONTH(Bike_Sales[[#This Row],[Date]])</f>
        <v>12</v>
      </c>
      <c r="D587" s="2" t="str">
        <f>TEXT(Bike_Sales[[#This Row],[Date]],"dddd")</f>
        <v>Friday</v>
      </c>
      <c r="E587" s="3">
        <v>43</v>
      </c>
      <c r="F587" s="3" t="s">
        <v>135</v>
      </c>
      <c r="G587" s="3" t="s">
        <v>18</v>
      </c>
      <c r="H587" s="3" t="s">
        <v>35</v>
      </c>
      <c r="I587" s="3" t="s">
        <v>11</v>
      </c>
      <c r="J587" s="3" t="s">
        <v>104</v>
      </c>
      <c r="K587" s="3" t="s">
        <v>51</v>
      </c>
      <c r="L587" s="4">
        <v>4</v>
      </c>
      <c r="M587" s="3">
        <v>530</v>
      </c>
      <c r="N587" s="3">
        <v>840</v>
      </c>
      <c r="O587" s="15">
        <f>Bike_Sales[[#This Row],[Order_Quantity]]*Bike_Sales[[#This Row],[Unit_Price]]</f>
        <v>3360</v>
      </c>
      <c r="P587" s="15">
        <f>Bike_Sales[[#This Row],[Order_Quantity]]*Bike_Sales[[#This Row],[Unit_Cost]]</f>
        <v>2120</v>
      </c>
      <c r="Q587" s="15">
        <f>Bike_Sales[[#This Row],[Total Sales]]-Bike_Sales[[#This Row],[Total Cost]]</f>
        <v>1240</v>
      </c>
      <c r="R587" s="17">
        <f>Bike_Sales[[#This Row],[Profit]]/Bike_Sales[[#This Row],[Total Sales]]</f>
        <v>0.36904761904761907</v>
      </c>
      <c r="S587" s="16" t="str">
        <f t="shared" si="9"/>
        <v>35-44</v>
      </c>
    </row>
    <row r="588" spans="1:19" x14ac:dyDescent="0.35">
      <c r="A588" s="2">
        <v>44542</v>
      </c>
      <c r="B588" s="2" t="str">
        <f>TEXT(Bike_Sales[[#This Row],[Date]],"mmmm")</f>
        <v>December</v>
      </c>
      <c r="C588" s="19">
        <f>MONTH(Bike_Sales[[#This Row],[Date]])</f>
        <v>12</v>
      </c>
      <c r="D588" s="2" t="str">
        <f>TEXT(Bike_Sales[[#This Row],[Date]],"dddd")</f>
        <v>Sunday</v>
      </c>
      <c r="E588" s="3">
        <v>43</v>
      </c>
      <c r="F588" s="3" t="s">
        <v>126</v>
      </c>
      <c r="G588" s="3" t="s">
        <v>9</v>
      </c>
      <c r="H588" s="3" t="s">
        <v>10</v>
      </c>
      <c r="I588" s="3" t="s">
        <v>11</v>
      </c>
      <c r="J588" s="3" t="s">
        <v>102</v>
      </c>
      <c r="K588" s="3" t="s">
        <v>43</v>
      </c>
      <c r="L588" s="4">
        <v>3</v>
      </c>
      <c r="M588" s="3">
        <v>900</v>
      </c>
      <c r="N588" s="3">
        <v>1400</v>
      </c>
      <c r="O588" s="15">
        <f>Bike_Sales[[#This Row],[Order_Quantity]]*Bike_Sales[[#This Row],[Unit_Price]]</f>
        <v>4200</v>
      </c>
      <c r="P588" s="15">
        <f>Bike_Sales[[#This Row],[Order_Quantity]]*Bike_Sales[[#This Row],[Unit_Cost]]</f>
        <v>2700</v>
      </c>
      <c r="Q588" s="15">
        <f>Bike_Sales[[#This Row],[Total Sales]]-Bike_Sales[[#This Row],[Total Cost]]</f>
        <v>1500</v>
      </c>
      <c r="R588" s="17">
        <f>Bike_Sales[[#This Row],[Profit]]/Bike_Sales[[#This Row],[Total Sales]]</f>
        <v>0.35714285714285715</v>
      </c>
      <c r="S588" s="16" t="str">
        <f t="shared" si="9"/>
        <v>35-44</v>
      </c>
    </row>
    <row r="589" spans="1:19" x14ac:dyDescent="0.35">
      <c r="A589" s="2">
        <v>44544</v>
      </c>
      <c r="B589" s="2" t="str">
        <f>TEXT(Bike_Sales[[#This Row],[Date]],"mmmm")</f>
        <v>December</v>
      </c>
      <c r="C589" s="19">
        <f>MONTH(Bike_Sales[[#This Row],[Date]])</f>
        <v>12</v>
      </c>
      <c r="D589" s="2" t="str">
        <f>TEXT(Bike_Sales[[#This Row],[Date]],"dddd")</f>
        <v>Tuesday</v>
      </c>
      <c r="E589" s="3">
        <v>43</v>
      </c>
      <c r="F589" s="3" t="s">
        <v>135</v>
      </c>
      <c r="G589" s="3" t="s">
        <v>9</v>
      </c>
      <c r="H589" s="3" t="s">
        <v>10</v>
      </c>
      <c r="I589" s="3" t="s">
        <v>11</v>
      </c>
      <c r="J589" s="3" t="s">
        <v>102</v>
      </c>
      <c r="K589" s="3" t="s">
        <v>66</v>
      </c>
      <c r="L589" s="4">
        <v>2</v>
      </c>
      <c r="M589" s="3">
        <v>900</v>
      </c>
      <c r="N589" s="3">
        <v>1400</v>
      </c>
      <c r="O589" s="15">
        <f>Bike_Sales[[#This Row],[Order_Quantity]]*Bike_Sales[[#This Row],[Unit_Price]]</f>
        <v>2800</v>
      </c>
      <c r="P589" s="15">
        <f>Bike_Sales[[#This Row],[Order_Quantity]]*Bike_Sales[[#This Row],[Unit_Cost]]</f>
        <v>1800</v>
      </c>
      <c r="Q589" s="15">
        <f>Bike_Sales[[#This Row],[Total Sales]]-Bike_Sales[[#This Row],[Total Cost]]</f>
        <v>1000</v>
      </c>
      <c r="R589" s="17">
        <f>Bike_Sales[[#This Row],[Profit]]/Bike_Sales[[#This Row],[Total Sales]]</f>
        <v>0.35714285714285715</v>
      </c>
      <c r="S589" s="16" t="str">
        <f t="shared" si="9"/>
        <v>35-44</v>
      </c>
    </row>
    <row r="590" spans="1:19" x14ac:dyDescent="0.35">
      <c r="A590" s="2">
        <v>44546</v>
      </c>
      <c r="B590" s="2" t="str">
        <f>TEXT(Bike_Sales[[#This Row],[Date]],"mmmm")</f>
        <v>December</v>
      </c>
      <c r="C590" s="19">
        <f>MONTH(Bike_Sales[[#This Row],[Date]])</f>
        <v>12</v>
      </c>
      <c r="D590" s="2" t="str">
        <f>TEXT(Bike_Sales[[#This Row],[Date]],"dddd")</f>
        <v>Thursday</v>
      </c>
      <c r="E590" s="3">
        <v>43</v>
      </c>
      <c r="F590" s="3" t="s">
        <v>126</v>
      </c>
      <c r="G590" s="3" t="s">
        <v>9</v>
      </c>
      <c r="H590" s="3" t="s">
        <v>10</v>
      </c>
      <c r="I590" s="3" t="s">
        <v>11</v>
      </c>
      <c r="J590" s="3" t="s">
        <v>102</v>
      </c>
      <c r="K590" s="3" t="s">
        <v>43</v>
      </c>
      <c r="L590" s="4">
        <v>1</v>
      </c>
      <c r="M590" s="3">
        <v>900</v>
      </c>
      <c r="N590" s="3">
        <v>1400</v>
      </c>
      <c r="O590" s="15">
        <f>Bike_Sales[[#This Row],[Order_Quantity]]*Bike_Sales[[#This Row],[Unit_Price]]</f>
        <v>1400</v>
      </c>
      <c r="P590" s="15">
        <f>Bike_Sales[[#This Row],[Order_Quantity]]*Bike_Sales[[#This Row],[Unit_Cost]]</f>
        <v>900</v>
      </c>
      <c r="Q590" s="15">
        <f>Bike_Sales[[#This Row],[Total Sales]]-Bike_Sales[[#This Row],[Total Cost]]</f>
        <v>500</v>
      </c>
      <c r="R590" s="17">
        <f>Bike_Sales[[#This Row],[Profit]]/Bike_Sales[[#This Row],[Total Sales]]</f>
        <v>0.35714285714285715</v>
      </c>
      <c r="S590" s="16" t="str">
        <f t="shared" si="9"/>
        <v>35-44</v>
      </c>
    </row>
    <row r="591" spans="1:19" x14ac:dyDescent="0.35">
      <c r="A591" s="2">
        <v>44547</v>
      </c>
      <c r="B591" s="2" t="str">
        <f>TEXT(Bike_Sales[[#This Row],[Date]],"mmmm")</f>
        <v>December</v>
      </c>
      <c r="C591" s="19">
        <f>MONTH(Bike_Sales[[#This Row],[Date]])</f>
        <v>12</v>
      </c>
      <c r="D591" s="2" t="str">
        <f>TEXT(Bike_Sales[[#This Row],[Date]],"dddd")</f>
        <v>Friday</v>
      </c>
      <c r="E591" s="3">
        <v>43</v>
      </c>
      <c r="F591" s="3" t="s">
        <v>135</v>
      </c>
      <c r="G591" s="3" t="s">
        <v>18</v>
      </c>
      <c r="H591" s="3" t="s">
        <v>24</v>
      </c>
      <c r="I591" s="3" t="s">
        <v>11</v>
      </c>
      <c r="J591" s="3" t="s">
        <v>102</v>
      </c>
      <c r="K591" s="3" t="s">
        <v>26</v>
      </c>
      <c r="L591" s="4">
        <v>1</v>
      </c>
      <c r="M591" s="3">
        <v>900</v>
      </c>
      <c r="N591" s="3">
        <v>1400</v>
      </c>
      <c r="O591" s="15">
        <f>Bike_Sales[[#This Row],[Order_Quantity]]*Bike_Sales[[#This Row],[Unit_Price]]</f>
        <v>1400</v>
      </c>
      <c r="P591" s="15">
        <f>Bike_Sales[[#This Row],[Order_Quantity]]*Bike_Sales[[#This Row],[Unit_Cost]]</f>
        <v>900</v>
      </c>
      <c r="Q591" s="15">
        <f>Bike_Sales[[#This Row],[Total Sales]]-Bike_Sales[[#This Row],[Total Cost]]</f>
        <v>500</v>
      </c>
      <c r="R591" s="17">
        <f>Bike_Sales[[#This Row],[Profit]]/Bike_Sales[[#This Row],[Total Sales]]</f>
        <v>0.35714285714285715</v>
      </c>
      <c r="S591" s="16" t="str">
        <f t="shared" si="9"/>
        <v>35-44</v>
      </c>
    </row>
    <row r="592" spans="1:19" x14ac:dyDescent="0.35">
      <c r="A592" s="2">
        <v>44550</v>
      </c>
      <c r="B592" s="2" t="str">
        <f>TEXT(Bike_Sales[[#This Row],[Date]],"mmmm")</f>
        <v>December</v>
      </c>
      <c r="C592" s="19">
        <f>MONTH(Bike_Sales[[#This Row],[Date]])</f>
        <v>12</v>
      </c>
      <c r="D592" s="2" t="str">
        <f>TEXT(Bike_Sales[[#This Row],[Date]],"dddd")</f>
        <v>Monday</v>
      </c>
      <c r="E592" s="3">
        <v>43</v>
      </c>
      <c r="F592" s="3" t="s">
        <v>126</v>
      </c>
      <c r="G592" s="3" t="s">
        <v>9</v>
      </c>
      <c r="H592" s="3" t="s">
        <v>10</v>
      </c>
      <c r="I592" s="3" t="s">
        <v>11</v>
      </c>
      <c r="J592" s="3" t="s">
        <v>102</v>
      </c>
      <c r="K592" s="3" t="s">
        <v>43</v>
      </c>
      <c r="L592" s="4">
        <v>2</v>
      </c>
      <c r="M592" s="3">
        <v>900</v>
      </c>
      <c r="N592" s="3">
        <v>1400</v>
      </c>
      <c r="O592" s="15">
        <f>Bike_Sales[[#This Row],[Order_Quantity]]*Bike_Sales[[#This Row],[Unit_Price]]</f>
        <v>2800</v>
      </c>
      <c r="P592" s="15">
        <f>Bike_Sales[[#This Row],[Order_Quantity]]*Bike_Sales[[#This Row],[Unit_Cost]]</f>
        <v>1800</v>
      </c>
      <c r="Q592" s="15">
        <f>Bike_Sales[[#This Row],[Total Sales]]-Bike_Sales[[#This Row],[Total Cost]]</f>
        <v>1000</v>
      </c>
      <c r="R592" s="17">
        <f>Bike_Sales[[#This Row],[Profit]]/Bike_Sales[[#This Row],[Total Sales]]</f>
        <v>0.35714285714285715</v>
      </c>
      <c r="S592" s="16" t="str">
        <f t="shared" si="9"/>
        <v>35-44</v>
      </c>
    </row>
    <row r="593" spans="1:19" x14ac:dyDescent="0.35">
      <c r="A593" s="2">
        <v>44550</v>
      </c>
      <c r="B593" s="2" t="str">
        <f>TEXT(Bike_Sales[[#This Row],[Date]],"mmmm")</f>
        <v>December</v>
      </c>
      <c r="C593" s="19">
        <f>MONTH(Bike_Sales[[#This Row],[Date]])</f>
        <v>12</v>
      </c>
      <c r="D593" s="2" t="str">
        <f>TEXT(Bike_Sales[[#This Row],[Date]],"dddd")</f>
        <v>Monday</v>
      </c>
      <c r="E593" s="3">
        <v>43</v>
      </c>
      <c r="F593" s="3" t="s">
        <v>126</v>
      </c>
      <c r="G593" s="3" t="s">
        <v>9</v>
      </c>
      <c r="H593" s="3" t="s">
        <v>37</v>
      </c>
      <c r="I593" s="3" t="s">
        <v>11</v>
      </c>
      <c r="J593" s="3" t="s">
        <v>104</v>
      </c>
      <c r="K593" s="3" t="s">
        <v>20</v>
      </c>
      <c r="L593" s="4">
        <v>1</v>
      </c>
      <c r="M593" s="3">
        <v>530</v>
      </c>
      <c r="N593" s="3">
        <v>840</v>
      </c>
      <c r="O593" s="15">
        <f>Bike_Sales[[#This Row],[Order_Quantity]]*Bike_Sales[[#This Row],[Unit_Price]]</f>
        <v>840</v>
      </c>
      <c r="P593" s="15">
        <f>Bike_Sales[[#This Row],[Order_Quantity]]*Bike_Sales[[#This Row],[Unit_Cost]]</f>
        <v>530</v>
      </c>
      <c r="Q593" s="15">
        <f>Bike_Sales[[#This Row],[Total Sales]]-Bike_Sales[[#This Row],[Total Cost]]</f>
        <v>310</v>
      </c>
      <c r="R593" s="17">
        <f>Bike_Sales[[#This Row],[Profit]]/Bike_Sales[[#This Row],[Total Sales]]</f>
        <v>0.36904761904761907</v>
      </c>
      <c r="S593" s="16" t="str">
        <f t="shared" si="9"/>
        <v>35-44</v>
      </c>
    </row>
    <row r="594" spans="1:19" x14ac:dyDescent="0.35">
      <c r="A594" s="2">
        <v>44553</v>
      </c>
      <c r="B594" s="2" t="str">
        <f>TEXT(Bike_Sales[[#This Row],[Date]],"mmmm")</f>
        <v>December</v>
      </c>
      <c r="C594" s="19">
        <f>MONTH(Bike_Sales[[#This Row],[Date]])</f>
        <v>12</v>
      </c>
      <c r="D594" s="2" t="str">
        <f>TEXT(Bike_Sales[[#This Row],[Date]],"dddd")</f>
        <v>Thursday</v>
      </c>
      <c r="E594" s="3">
        <v>43</v>
      </c>
      <c r="F594" s="3" t="s">
        <v>126</v>
      </c>
      <c r="G594" s="3" t="s">
        <v>9</v>
      </c>
      <c r="H594" s="3" t="s">
        <v>37</v>
      </c>
      <c r="I594" s="3" t="s">
        <v>11</v>
      </c>
      <c r="J594" s="3" t="s">
        <v>104</v>
      </c>
      <c r="K594" s="3" t="s">
        <v>20</v>
      </c>
      <c r="L594" s="4">
        <v>1</v>
      </c>
      <c r="M594" s="3">
        <v>530</v>
      </c>
      <c r="N594" s="3">
        <v>840</v>
      </c>
      <c r="O594" s="15">
        <f>Bike_Sales[[#This Row],[Order_Quantity]]*Bike_Sales[[#This Row],[Unit_Price]]</f>
        <v>840</v>
      </c>
      <c r="P594" s="15">
        <f>Bike_Sales[[#This Row],[Order_Quantity]]*Bike_Sales[[#This Row],[Unit_Cost]]</f>
        <v>530</v>
      </c>
      <c r="Q594" s="15">
        <f>Bike_Sales[[#This Row],[Total Sales]]-Bike_Sales[[#This Row],[Total Cost]]</f>
        <v>310</v>
      </c>
      <c r="R594" s="17">
        <f>Bike_Sales[[#This Row],[Profit]]/Bike_Sales[[#This Row],[Total Sales]]</f>
        <v>0.36904761904761907</v>
      </c>
      <c r="S594" s="16" t="str">
        <f t="shared" si="9"/>
        <v>35-44</v>
      </c>
    </row>
    <row r="595" spans="1:19" x14ac:dyDescent="0.35">
      <c r="A595" s="2">
        <v>44559</v>
      </c>
      <c r="B595" s="2" t="str">
        <f>TEXT(Bike_Sales[[#This Row],[Date]],"mmmm")</f>
        <v>December</v>
      </c>
      <c r="C595" s="19">
        <f>MONTH(Bike_Sales[[#This Row],[Date]])</f>
        <v>12</v>
      </c>
      <c r="D595" s="2" t="str">
        <f>TEXT(Bike_Sales[[#This Row],[Date]],"dddd")</f>
        <v>Wednesday</v>
      </c>
      <c r="E595" s="3">
        <v>43</v>
      </c>
      <c r="F595" s="3" t="s">
        <v>126</v>
      </c>
      <c r="G595" s="3" t="s">
        <v>129</v>
      </c>
      <c r="H595" s="3" t="s">
        <v>15</v>
      </c>
      <c r="I595" s="3" t="s">
        <v>16</v>
      </c>
      <c r="J595" s="3" t="s">
        <v>103</v>
      </c>
      <c r="K595" s="3" t="s">
        <v>45</v>
      </c>
      <c r="L595" s="4">
        <v>2</v>
      </c>
      <c r="M595" s="3">
        <v>550</v>
      </c>
      <c r="N595" s="3">
        <v>850</v>
      </c>
      <c r="O595" s="15">
        <f>Bike_Sales[[#This Row],[Order_Quantity]]*Bike_Sales[[#This Row],[Unit_Price]]</f>
        <v>1700</v>
      </c>
      <c r="P595" s="15">
        <f>Bike_Sales[[#This Row],[Order_Quantity]]*Bike_Sales[[#This Row],[Unit_Cost]]</f>
        <v>1100</v>
      </c>
      <c r="Q595" s="15">
        <f>Bike_Sales[[#This Row],[Total Sales]]-Bike_Sales[[#This Row],[Total Cost]]</f>
        <v>600</v>
      </c>
      <c r="R595" s="17">
        <f>Bike_Sales[[#This Row],[Profit]]/Bike_Sales[[#This Row],[Total Sales]]</f>
        <v>0.35294117647058826</v>
      </c>
      <c r="S595" s="16" t="str">
        <f t="shared" si="9"/>
        <v>35-44</v>
      </c>
    </row>
    <row r="596" spans="1:19" x14ac:dyDescent="0.35">
      <c r="A596" s="2">
        <v>44559</v>
      </c>
      <c r="B596" s="2" t="str">
        <f>TEXT(Bike_Sales[[#This Row],[Date]],"mmmm")</f>
        <v>December</v>
      </c>
      <c r="C596" s="19">
        <f>MONTH(Bike_Sales[[#This Row],[Date]])</f>
        <v>12</v>
      </c>
      <c r="D596" s="2" t="str">
        <f>TEXT(Bike_Sales[[#This Row],[Date]],"dddd")</f>
        <v>Wednesday</v>
      </c>
      <c r="E596" s="3">
        <v>43</v>
      </c>
      <c r="F596" s="3" t="s">
        <v>135</v>
      </c>
      <c r="G596" s="3" t="s">
        <v>18</v>
      </c>
      <c r="H596" s="3" t="s">
        <v>24</v>
      </c>
      <c r="I596" s="3" t="s">
        <v>11</v>
      </c>
      <c r="J596" s="3" t="s">
        <v>102</v>
      </c>
      <c r="K596" s="3" t="s">
        <v>26</v>
      </c>
      <c r="L596" s="4">
        <v>1</v>
      </c>
      <c r="M596" s="3">
        <v>900</v>
      </c>
      <c r="N596" s="3">
        <v>1400</v>
      </c>
      <c r="O596" s="15">
        <f>Bike_Sales[[#This Row],[Order_Quantity]]*Bike_Sales[[#This Row],[Unit_Price]]</f>
        <v>1400</v>
      </c>
      <c r="P596" s="15">
        <f>Bike_Sales[[#This Row],[Order_Quantity]]*Bike_Sales[[#This Row],[Unit_Cost]]</f>
        <v>900</v>
      </c>
      <c r="Q596" s="15">
        <f>Bike_Sales[[#This Row],[Total Sales]]-Bike_Sales[[#This Row],[Total Cost]]</f>
        <v>500</v>
      </c>
      <c r="R596" s="17">
        <f>Bike_Sales[[#This Row],[Profit]]/Bike_Sales[[#This Row],[Total Sales]]</f>
        <v>0.35714285714285715</v>
      </c>
      <c r="S596" s="16" t="str">
        <f t="shared" si="9"/>
        <v>35-44</v>
      </c>
    </row>
    <row r="597" spans="1:19" x14ac:dyDescent="0.35">
      <c r="A597" s="2">
        <v>44480</v>
      </c>
      <c r="B597" s="2" t="str">
        <f>TEXT(Bike_Sales[[#This Row],[Date]],"mmmm")</f>
        <v>October</v>
      </c>
      <c r="C597" s="19">
        <f>MONTH(Bike_Sales[[#This Row],[Date]])</f>
        <v>10</v>
      </c>
      <c r="D597" s="2" t="str">
        <f>TEXT(Bike_Sales[[#This Row],[Date]],"dddd")</f>
        <v>Monday</v>
      </c>
      <c r="E597" s="3">
        <v>44</v>
      </c>
      <c r="F597" s="3" t="s">
        <v>135</v>
      </c>
      <c r="G597" s="3" t="s">
        <v>13</v>
      </c>
      <c r="H597" s="3" t="s">
        <v>127</v>
      </c>
      <c r="I597" s="3" t="s">
        <v>16</v>
      </c>
      <c r="J597" s="3" t="s">
        <v>101</v>
      </c>
      <c r="K597" s="3" t="s">
        <v>59</v>
      </c>
      <c r="L597" s="4">
        <v>4</v>
      </c>
      <c r="M597" s="3">
        <v>480</v>
      </c>
      <c r="N597" s="3">
        <v>760</v>
      </c>
      <c r="O597" s="15">
        <f>Bike_Sales[[#This Row],[Order_Quantity]]*Bike_Sales[[#This Row],[Unit_Price]]</f>
        <v>3040</v>
      </c>
      <c r="P597" s="15">
        <f>Bike_Sales[[#This Row],[Order_Quantity]]*Bike_Sales[[#This Row],[Unit_Cost]]</f>
        <v>1920</v>
      </c>
      <c r="Q597" s="15">
        <f>Bike_Sales[[#This Row],[Total Sales]]-Bike_Sales[[#This Row],[Total Cost]]</f>
        <v>1120</v>
      </c>
      <c r="R597" s="17">
        <f>Bike_Sales[[#This Row],[Profit]]/Bike_Sales[[#This Row],[Total Sales]]</f>
        <v>0.36842105263157893</v>
      </c>
      <c r="S597" s="16" t="str">
        <f t="shared" si="9"/>
        <v>35-44</v>
      </c>
    </row>
    <row r="598" spans="1:19" x14ac:dyDescent="0.35">
      <c r="A598" s="2">
        <v>44481</v>
      </c>
      <c r="B598" s="2" t="str">
        <f>TEXT(Bike_Sales[[#This Row],[Date]],"mmmm")</f>
        <v>October</v>
      </c>
      <c r="C598" s="19">
        <f>MONTH(Bike_Sales[[#This Row],[Date]])</f>
        <v>10</v>
      </c>
      <c r="D598" s="2" t="str">
        <f>TEXT(Bike_Sales[[#This Row],[Date]],"dddd")</f>
        <v>Tuesday</v>
      </c>
      <c r="E598" s="3">
        <v>44</v>
      </c>
      <c r="F598" s="3" t="s">
        <v>135</v>
      </c>
      <c r="G598" s="3" t="s">
        <v>18</v>
      </c>
      <c r="H598" s="3" t="s">
        <v>24</v>
      </c>
      <c r="I598" s="3" t="s">
        <v>11</v>
      </c>
      <c r="J598" s="3" t="s">
        <v>101</v>
      </c>
      <c r="K598" s="3" t="s">
        <v>67</v>
      </c>
      <c r="L598" s="4">
        <v>1</v>
      </c>
      <c r="M598" s="3">
        <v>700</v>
      </c>
      <c r="N598" s="3">
        <v>1100</v>
      </c>
      <c r="O598" s="15">
        <f>Bike_Sales[[#This Row],[Order_Quantity]]*Bike_Sales[[#This Row],[Unit_Price]]</f>
        <v>1100</v>
      </c>
      <c r="P598" s="15">
        <f>Bike_Sales[[#This Row],[Order_Quantity]]*Bike_Sales[[#This Row],[Unit_Cost]]</f>
        <v>700</v>
      </c>
      <c r="Q598" s="15">
        <f>Bike_Sales[[#This Row],[Total Sales]]-Bike_Sales[[#This Row],[Total Cost]]</f>
        <v>400</v>
      </c>
      <c r="R598" s="17">
        <f>Bike_Sales[[#This Row],[Profit]]/Bike_Sales[[#This Row],[Total Sales]]</f>
        <v>0.36363636363636365</v>
      </c>
      <c r="S598" s="16" t="str">
        <f t="shared" si="9"/>
        <v>35-44</v>
      </c>
    </row>
    <row r="599" spans="1:19" x14ac:dyDescent="0.35">
      <c r="A599" s="2">
        <v>44490</v>
      </c>
      <c r="B599" s="2" t="str">
        <f>TEXT(Bike_Sales[[#This Row],[Date]],"mmmm")</f>
        <v>October</v>
      </c>
      <c r="C599" s="19">
        <f>MONTH(Bike_Sales[[#This Row],[Date]])</f>
        <v>10</v>
      </c>
      <c r="D599" s="2" t="str">
        <f>TEXT(Bike_Sales[[#This Row],[Date]],"dddd")</f>
        <v>Thursday</v>
      </c>
      <c r="E599" s="3">
        <v>44</v>
      </c>
      <c r="F599" s="3" t="s">
        <v>135</v>
      </c>
      <c r="G599" s="3" t="s">
        <v>33</v>
      </c>
      <c r="H599" s="3" t="s">
        <v>73</v>
      </c>
      <c r="I599" s="3" t="s">
        <v>11</v>
      </c>
      <c r="J599" s="3" t="s">
        <v>102</v>
      </c>
      <c r="K599" s="3" t="s">
        <v>74</v>
      </c>
      <c r="L599" s="4">
        <v>3</v>
      </c>
      <c r="M599" s="3">
        <v>500</v>
      </c>
      <c r="N599" s="3">
        <v>950</v>
      </c>
      <c r="O599" s="15">
        <f>Bike_Sales[[#This Row],[Order_Quantity]]*Bike_Sales[[#This Row],[Unit_Price]]</f>
        <v>2850</v>
      </c>
      <c r="P599" s="15">
        <f>Bike_Sales[[#This Row],[Order_Quantity]]*Bike_Sales[[#This Row],[Unit_Cost]]</f>
        <v>1500</v>
      </c>
      <c r="Q599" s="15">
        <f>Bike_Sales[[#This Row],[Total Sales]]-Bike_Sales[[#This Row],[Total Cost]]</f>
        <v>1350</v>
      </c>
      <c r="R599" s="17">
        <f>Bike_Sales[[#This Row],[Profit]]/Bike_Sales[[#This Row],[Total Sales]]</f>
        <v>0.47368421052631576</v>
      </c>
      <c r="S599" s="16" t="str">
        <f t="shared" si="9"/>
        <v>35-44</v>
      </c>
    </row>
    <row r="600" spans="1:19" x14ac:dyDescent="0.35">
      <c r="A600" s="2">
        <v>44490</v>
      </c>
      <c r="B600" s="2" t="str">
        <f>TEXT(Bike_Sales[[#This Row],[Date]],"mmmm")</f>
        <v>October</v>
      </c>
      <c r="C600" s="19">
        <f>MONTH(Bike_Sales[[#This Row],[Date]])</f>
        <v>10</v>
      </c>
      <c r="D600" s="2" t="str">
        <f>TEXT(Bike_Sales[[#This Row],[Date]],"dddd")</f>
        <v>Thursday</v>
      </c>
      <c r="E600" s="3">
        <v>44</v>
      </c>
      <c r="F600" s="3" t="s">
        <v>126</v>
      </c>
      <c r="G600" s="3" t="s">
        <v>18</v>
      </c>
      <c r="H600" s="3" t="s">
        <v>21</v>
      </c>
      <c r="I600" s="3" t="s">
        <v>16</v>
      </c>
      <c r="J600" s="3" t="s">
        <v>101</v>
      </c>
      <c r="K600" s="3" t="s">
        <v>25</v>
      </c>
      <c r="L600" s="4">
        <v>2</v>
      </c>
      <c r="M600" s="3">
        <v>550</v>
      </c>
      <c r="N600" s="3">
        <v>850</v>
      </c>
      <c r="O600" s="15">
        <f>Bike_Sales[[#This Row],[Order_Quantity]]*Bike_Sales[[#This Row],[Unit_Price]]</f>
        <v>1700</v>
      </c>
      <c r="P600" s="15">
        <f>Bike_Sales[[#This Row],[Order_Quantity]]*Bike_Sales[[#This Row],[Unit_Cost]]</f>
        <v>1100</v>
      </c>
      <c r="Q600" s="15">
        <f>Bike_Sales[[#This Row],[Total Sales]]-Bike_Sales[[#This Row],[Total Cost]]</f>
        <v>600</v>
      </c>
      <c r="R600" s="17">
        <f>Bike_Sales[[#This Row],[Profit]]/Bike_Sales[[#This Row],[Total Sales]]</f>
        <v>0.35294117647058826</v>
      </c>
      <c r="S600" s="16" t="str">
        <f t="shared" si="9"/>
        <v>35-44</v>
      </c>
    </row>
    <row r="601" spans="1:19" x14ac:dyDescent="0.35">
      <c r="A601" s="2">
        <v>44493</v>
      </c>
      <c r="B601" s="2" t="str">
        <f>TEXT(Bike_Sales[[#This Row],[Date]],"mmmm")</f>
        <v>October</v>
      </c>
      <c r="C601" s="19">
        <f>MONTH(Bike_Sales[[#This Row],[Date]])</f>
        <v>10</v>
      </c>
      <c r="D601" s="2" t="str">
        <f>TEXT(Bike_Sales[[#This Row],[Date]],"dddd")</f>
        <v>Sunday</v>
      </c>
      <c r="E601" s="3">
        <v>44</v>
      </c>
      <c r="F601" s="3" t="s">
        <v>135</v>
      </c>
      <c r="G601" s="3" t="s">
        <v>18</v>
      </c>
      <c r="H601" s="3" t="s">
        <v>19</v>
      </c>
      <c r="I601" s="3" t="s">
        <v>16</v>
      </c>
      <c r="J601" s="3" t="s">
        <v>103</v>
      </c>
      <c r="K601" s="3" t="s">
        <v>55</v>
      </c>
      <c r="L601" s="4">
        <v>1</v>
      </c>
      <c r="M601" s="3">
        <v>450</v>
      </c>
      <c r="N601" s="3">
        <v>720</v>
      </c>
      <c r="O601" s="15">
        <f>Bike_Sales[[#This Row],[Order_Quantity]]*Bike_Sales[[#This Row],[Unit_Price]]</f>
        <v>720</v>
      </c>
      <c r="P601" s="15">
        <f>Bike_Sales[[#This Row],[Order_Quantity]]*Bike_Sales[[#This Row],[Unit_Cost]]</f>
        <v>450</v>
      </c>
      <c r="Q601" s="15">
        <f>Bike_Sales[[#This Row],[Total Sales]]-Bike_Sales[[#This Row],[Total Cost]]</f>
        <v>270</v>
      </c>
      <c r="R601" s="17">
        <f>Bike_Sales[[#This Row],[Profit]]/Bike_Sales[[#This Row],[Total Sales]]</f>
        <v>0.375</v>
      </c>
      <c r="S601" s="16" t="str">
        <f t="shared" si="9"/>
        <v>35-44</v>
      </c>
    </row>
    <row r="602" spans="1:19" x14ac:dyDescent="0.35">
      <c r="A602" s="2">
        <v>44498</v>
      </c>
      <c r="B602" s="2" t="str">
        <f>TEXT(Bike_Sales[[#This Row],[Date]],"mmmm")</f>
        <v>October</v>
      </c>
      <c r="C602" s="19">
        <f>MONTH(Bike_Sales[[#This Row],[Date]])</f>
        <v>10</v>
      </c>
      <c r="D602" s="2" t="str">
        <f>TEXT(Bike_Sales[[#This Row],[Date]],"dddd")</f>
        <v>Friday</v>
      </c>
      <c r="E602" s="3">
        <v>44</v>
      </c>
      <c r="F602" s="3" t="s">
        <v>135</v>
      </c>
      <c r="G602" s="3" t="s">
        <v>18</v>
      </c>
      <c r="H602" s="3" t="s">
        <v>24</v>
      </c>
      <c r="I602" s="3" t="s">
        <v>11</v>
      </c>
      <c r="J602" s="3" t="s">
        <v>101</v>
      </c>
      <c r="K602" s="3" t="s">
        <v>67</v>
      </c>
      <c r="L602" s="4">
        <v>4</v>
      </c>
      <c r="M602" s="3">
        <v>700</v>
      </c>
      <c r="N602" s="3">
        <v>1100</v>
      </c>
      <c r="O602" s="15">
        <f>Bike_Sales[[#This Row],[Order_Quantity]]*Bike_Sales[[#This Row],[Unit_Price]]</f>
        <v>4400</v>
      </c>
      <c r="P602" s="15">
        <f>Bike_Sales[[#This Row],[Order_Quantity]]*Bike_Sales[[#This Row],[Unit_Cost]]</f>
        <v>2800</v>
      </c>
      <c r="Q602" s="15">
        <f>Bike_Sales[[#This Row],[Total Sales]]-Bike_Sales[[#This Row],[Total Cost]]</f>
        <v>1600</v>
      </c>
      <c r="R602" s="17">
        <f>Bike_Sales[[#This Row],[Profit]]/Bike_Sales[[#This Row],[Total Sales]]</f>
        <v>0.36363636363636365</v>
      </c>
      <c r="S602" s="16" t="str">
        <f t="shared" si="9"/>
        <v>35-44</v>
      </c>
    </row>
    <row r="603" spans="1:19" x14ac:dyDescent="0.35">
      <c r="A603" s="2">
        <v>44501</v>
      </c>
      <c r="B603" s="2" t="str">
        <f>TEXT(Bike_Sales[[#This Row],[Date]],"mmmm")</f>
        <v>November</v>
      </c>
      <c r="C603" s="19">
        <f>MONTH(Bike_Sales[[#This Row],[Date]])</f>
        <v>11</v>
      </c>
      <c r="D603" s="2" t="str">
        <f>TEXT(Bike_Sales[[#This Row],[Date]],"dddd")</f>
        <v>Monday</v>
      </c>
      <c r="E603" s="3">
        <v>44</v>
      </c>
      <c r="F603" s="3" t="s">
        <v>126</v>
      </c>
      <c r="G603" s="3" t="s">
        <v>129</v>
      </c>
      <c r="H603" s="3" t="s">
        <v>15</v>
      </c>
      <c r="I603" s="3" t="s">
        <v>11</v>
      </c>
      <c r="J603" s="3" t="s">
        <v>104</v>
      </c>
      <c r="K603" s="3" t="s">
        <v>34</v>
      </c>
      <c r="L603" s="4">
        <v>1</v>
      </c>
      <c r="M603" s="3">
        <v>500</v>
      </c>
      <c r="N603" s="3">
        <v>800</v>
      </c>
      <c r="O603" s="15">
        <f>Bike_Sales[[#This Row],[Order_Quantity]]*Bike_Sales[[#This Row],[Unit_Price]]</f>
        <v>800</v>
      </c>
      <c r="P603" s="15">
        <f>Bike_Sales[[#This Row],[Order_Quantity]]*Bike_Sales[[#This Row],[Unit_Cost]]</f>
        <v>500</v>
      </c>
      <c r="Q603" s="15">
        <f>Bike_Sales[[#This Row],[Total Sales]]-Bike_Sales[[#This Row],[Total Cost]]</f>
        <v>300</v>
      </c>
      <c r="R603" s="17">
        <f>Bike_Sales[[#This Row],[Profit]]/Bike_Sales[[#This Row],[Total Sales]]</f>
        <v>0.375</v>
      </c>
      <c r="S603" s="16" t="str">
        <f t="shared" si="9"/>
        <v>35-44</v>
      </c>
    </row>
    <row r="604" spans="1:19" x14ac:dyDescent="0.35">
      <c r="A604" s="2">
        <v>44512</v>
      </c>
      <c r="B604" s="2" t="str">
        <f>TEXT(Bike_Sales[[#This Row],[Date]],"mmmm")</f>
        <v>November</v>
      </c>
      <c r="C604" s="19">
        <f>MONTH(Bike_Sales[[#This Row],[Date]])</f>
        <v>11</v>
      </c>
      <c r="D604" s="2" t="str">
        <f>TEXT(Bike_Sales[[#This Row],[Date]],"dddd")</f>
        <v>Friday</v>
      </c>
      <c r="E604" s="3">
        <v>44</v>
      </c>
      <c r="F604" s="3" t="s">
        <v>135</v>
      </c>
      <c r="G604" s="3" t="s">
        <v>9</v>
      </c>
      <c r="H604" s="3" t="s">
        <v>69</v>
      </c>
      <c r="I604" s="3" t="s">
        <v>11</v>
      </c>
      <c r="J604" s="3" t="s">
        <v>101</v>
      </c>
      <c r="K604" s="3" t="s">
        <v>67</v>
      </c>
      <c r="L604" s="4">
        <v>1</v>
      </c>
      <c r="M604" s="3">
        <v>700</v>
      </c>
      <c r="N604" s="3">
        <v>1100</v>
      </c>
      <c r="O604" s="15">
        <f>Bike_Sales[[#This Row],[Order_Quantity]]*Bike_Sales[[#This Row],[Unit_Price]]</f>
        <v>1100</v>
      </c>
      <c r="P604" s="15">
        <f>Bike_Sales[[#This Row],[Order_Quantity]]*Bike_Sales[[#This Row],[Unit_Cost]]</f>
        <v>700</v>
      </c>
      <c r="Q604" s="15">
        <f>Bike_Sales[[#This Row],[Total Sales]]-Bike_Sales[[#This Row],[Total Cost]]</f>
        <v>400</v>
      </c>
      <c r="R604" s="17">
        <f>Bike_Sales[[#This Row],[Profit]]/Bike_Sales[[#This Row],[Total Sales]]</f>
        <v>0.36363636363636365</v>
      </c>
      <c r="S604" s="16" t="str">
        <f t="shared" si="9"/>
        <v>35-44</v>
      </c>
    </row>
    <row r="605" spans="1:19" x14ac:dyDescent="0.35">
      <c r="A605" s="2">
        <v>44519</v>
      </c>
      <c r="B605" s="2" t="str">
        <f>TEXT(Bike_Sales[[#This Row],[Date]],"mmmm")</f>
        <v>November</v>
      </c>
      <c r="C605" s="19">
        <f>MONTH(Bike_Sales[[#This Row],[Date]])</f>
        <v>11</v>
      </c>
      <c r="D605" s="2" t="str">
        <f>TEXT(Bike_Sales[[#This Row],[Date]],"dddd")</f>
        <v>Friday</v>
      </c>
      <c r="E605" s="3">
        <v>44</v>
      </c>
      <c r="F605" s="3" t="s">
        <v>135</v>
      </c>
      <c r="G605" s="3" t="s">
        <v>33</v>
      </c>
      <c r="H605" s="3" t="s">
        <v>73</v>
      </c>
      <c r="I605" s="3" t="s">
        <v>11</v>
      </c>
      <c r="J605" s="3" t="s">
        <v>102</v>
      </c>
      <c r="K605" s="3" t="s">
        <v>74</v>
      </c>
      <c r="L605" s="4">
        <v>1</v>
      </c>
      <c r="M605" s="3">
        <v>500</v>
      </c>
      <c r="N605" s="3">
        <v>950</v>
      </c>
      <c r="O605" s="15">
        <f>Bike_Sales[[#This Row],[Order_Quantity]]*Bike_Sales[[#This Row],[Unit_Price]]</f>
        <v>950</v>
      </c>
      <c r="P605" s="15">
        <f>Bike_Sales[[#This Row],[Order_Quantity]]*Bike_Sales[[#This Row],[Unit_Cost]]</f>
        <v>500</v>
      </c>
      <c r="Q605" s="15">
        <f>Bike_Sales[[#This Row],[Total Sales]]-Bike_Sales[[#This Row],[Total Cost]]</f>
        <v>450</v>
      </c>
      <c r="R605" s="17">
        <f>Bike_Sales[[#This Row],[Profit]]/Bike_Sales[[#This Row],[Total Sales]]</f>
        <v>0.47368421052631576</v>
      </c>
      <c r="S605" s="16" t="str">
        <f t="shared" si="9"/>
        <v>35-44</v>
      </c>
    </row>
    <row r="606" spans="1:19" x14ac:dyDescent="0.35">
      <c r="A606" s="2">
        <v>44529</v>
      </c>
      <c r="B606" s="2" t="str">
        <f>TEXT(Bike_Sales[[#This Row],[Date]],"mmmm")</f>
        <v>November</v>
      </c>
      <c r="C606" s="19">
        <f>MONTH(Bike_Sales[[#This Row],[Date]])</f>
        <v>11</v>
      </c>
      <c r="D606" s="2" t="str">
        <f>TEXT(Bike_Sales[[#This Row],[Date]],"dddd")</f>
        <v>Monday</v>
      </c>
      <c r="E606" s="3">
        <v>44</v>
      </c>
      <c r="F606" s="3" t="s">
        <v>126</v>
      </c>
      <c r="G606" s="3" t="s">
        <v>129</v>
      </c>
      <c r="H606" s="3" t="s">
        <v>15</v>
      </c>
      <c r="I606" s="3" t="s">
        <v>11</v>
      </c>
      <c r="J606" s="3" t="s">
        <v>104</v>
      </c>
      <c r="K606" s="3" t="s">
        <v>34</v>
      </c>
      <c r="L606" s="4">
        <v>1</v>
      </c>
      <c r="M606" s="3">
        <v>500</v>
      </c>
      <c r="N606" s="3">
        <v>800</v>
      </c>
      <c r="O606" s="15">
        <f>Bike_Sales[[#This Row],[Order_Quantity]]*Bike_Sales[[#This Row],[Unit_Price]]</f>
        <v>800</v>
      </c>
      <c r="P606" s="15">
        <f>Bike_Sales[[#This Row],[Order_Quantity]]*Bike_Sales[[#This Row],[Unit_Cost]]</f>
        <v>500</v>
      </c>
      <c r="Q606" s="15">
        <f>Bike_Sales[[#This Row],[Total Sales]]-Bike_Sales[[#This Row],[Total Cost]]</f>
        <v>300</v>
      </c>
      <c r="R606" s="17">
        <f>Bike_Sales[[#This Row],[Profit]]/Bike_Sales[[#This Row],[Total Sales]]</f>
        <v>0.375</v>
      </c>
      <c r="S606" s="16" t="str">
        <f t="shared" si="9"/>
        <v>35-44</v>
      </c>
    </row>
    <row r="607" spans="1:19" x14ac:dyDescent="0.35">
      <c r="A607" s="2">
        <v>44531</v>
      </c>
      <c r="B607" s="2" t="str">
        <f>TEXT(Bike_Sales[[#This Row],[Date]],"mmmm")</f>
        <v>December</v>
      </c>
      <c r="C607" s="19">
        <f>MONTH(Bike_Sales[[#This Row],[Date]])</f>
        <v>12</v>
      </c>
      <c r="D607" s="2" t="str">
        <f>TEXT(Bike_Sales[[#This Row],[Date]],"dddd")</f>
        <v>Wednesday</v>
      </c>
      <c r="E607" s="3">
        <v>44</v>
      </c>
      <c r="F607" s="3" t="s">
        <v>126</v>
      </c>
      <c r="G607" s="3" t="s">
        <v>129</v>
      </c>
      <c r="H607" s="3" t="s">
        <v>15</v>
      </c>
      <c r="I607" s="3" t="s">
        <v>16</v>
      </c>
      <c r="J607" s="3" t="s">
        <v>103</v>
      </c>
      <c r="K607" s="3" t="s">
        <v>45</v>
      </c>
      <c r="L607" s="4">
        <v>1</v>
      </c>
      <c r="M607" s="3">
        <v>550</v>
      </c>
      <c r="N607" s="3">
        <v>850</v>
      </c>
      <c r="O607" s="15">
        <f>Bike_Sales[[#This Row],[Order_Quantity]]*Bike_Sales[[#This Row],[Unit_Price]]</f>
        <v>850</v>
      </c>
      <c r="P607" s="15">
        <f>Bike_Sales[[#This Row],[Order_Quantity]]*Bike_Sales[[#This Row],[Unit_Cost]]</f>
        <v>550</v>
      </c>
      <c r="Q607" s="15">
        <f>Bike_Sales[[#This Row],[Total Sales]]-Bike_Sales[[#This Row],[Total Cost]]</f>
        <v>300</v>
      </c>
      <c r="R607" s="17">
        <f>Bike_Sales[[#This Row],[Profit]]/Bike_Sales[[#This Row],[Total Sales]]</f>
        <v>0.35294117647058826</v>
      </c>
      <c r="S607" s="16" t="str">
        <f t="shared" si="9"/>
        <v>35-44</v>
      </c>
    </row>
    <row r="608" spans="1:19" x14ac:dyDescent="0.35">
      <c r="A608" s="2">
        <v>44532</v>
      </c>
      <c r="B608" s="2" t="str">
        <f>TEXT(Bike_Sales[[#This Row],[Date]],"mmmm")</f>
        <v>December</v>
      </c>
      <c r="C608" s="19">
        <f>MONTH(Bike_Sales[[#This Row],[Date]])</f>
        <v>12</v>
      </c>
      <c r="D608" s="2" t="str">
        <f>TEXT(Bike_Sales[[#This Row],[Date]],"dddd")</f>
        <v>Thursday</v>
      </c>
      <c r="E608" s="3">
        <v>44</v>
      </c>
      <c r="F608" s="3" t="s">
        <v>126</v>
      </c>
      <c r="G608" s="3" t="s">
        <v>9</v>
      </c>
      <c r="H608" s="3" t="s">
        <v>37</v>
      </c>
      <c r="I608" s="3" t="s">
        <v>11</v>
      </c>
      <c r="J608" s="3" t="s">
        <v>102</v>
      </c>
      <c r="K608" s="3" t="s">
        <v>72</v>
      </c>
      <c r="L608" s="4">
        <v>4</v>
      </c>
      <c r="M608" s="3">
        <v>580</v>
      </c>
      <c r="N608" s="3">
        <v>920</v>
      </c>
      <c r="O608" s="15">
        <f>Bike_Sales[[#This Row],[Order_Quantity]]*Bike_Sales[[#This Row],[Unit_Price]]</f>
        <v>3680</v>
      </c>
      <c r="P608" s="15">
        <f>Bike_Sales[[#This Row],[Order_Quantity]]*Bike_Sales[[#This Row],[Unit_Cost]]</f>
        <v>2320</v>
      </c>
      <c r="Q608" s="15">
        <f>Bike_Sales[[#This Row],[Total Sales]]-Bike_Sales[[#This Row],[Total Cost]]</f>
        <v>1360</v>
      </c>
      <c r="R608" s="17">
        <f>Bike_Sales[[#This Row],[Profit]]/Bike_Sales[[#This Row],[Total Sales]]</f>
        <v>0.36956521739130432</v>
      </c>
      <c r="S608" s="16" t="str">
        <f t="shared" si="9"/>
        <v>35-44</v>
      </c>
    </row>
    <row r="609" spans="1:19" x14ac:dyDescent="0.35">
      <c r="A609" s="2">
        <v>44543</v>
      </c>
      <c r="B609" s="2" t="str">
        <f>TEXT(Bike_Sales[[#This Row],[Date]],"mmmm")</f>
        <v>December</v>
      </c>
      <c r="C609" s="19">
        <f>MONTH(Bike_Sales[[#This Row],[Date]])</f>
        <v>12</v>
      </c>
      <c r="D609" s="2" t="str">
        <f>TEXT(Bike_Sales[[#This Row],[Date]],"dddd")</f>
        <v>Monday</v>
      </c>
      <c r="E609" s="3">
        <v>44</v>
      </c>
      <c r="F609" s="3" t="s">
        <v>135</v>
      </c>
      <c r="G609" s="3" t="s">
        <v>129</v>
      </c>
      <c r="H609" s="3" t="s">
        <v>15</v>
      </c>
      <c r="I609" s="3" t="s">
        <v>16</v>
      </c>
      <c r="J609" s="3" t="s">
        <v>101</v>
      </c>
      <c r="K609" s="3" t="s">
        <v>17</v>
      </c>
      <c r="L609" s="4">
        <v>1</v>
      </c>
      <c r="M609" s="3">
        <v>550</v>
      </c>
      <c r="N609" s="3">
        <v>850</v>
      </c>
      <c r="O609" s="15">
        <f>Bike_Sales[[#This Row],[Order_Quantity]]*Bike_Sales[[#This Row],[Unit_Price]]</f>
        <v>850</v>
      </c>
      <c r="P609" s="15">
        <f>Bike_Sales[[#This Row],[Order_Quantity]]*Bike_Sales[[#This Row],[Unit_Cost]]</f>
        <v>550</v>
      </c>
      <c r="Q609" s="15">
        <f>Bike_Sales[[#This Row],[Total Sales]]-Bike_Sales[[#This Row],[Total Cost]]</f>
        <v>300</v>
      </c>
      <c r="R609" s="17">
        <f>Bike_Sales[[#This Row],[Profit]]/Bike_Sales[[#This Row],[Total Sales]]</f>
        <v>0.35294117647058826</v>
      </c>
      <c r="S609" s="16" t="str">
        <f t="shared" si="9"/>
        <v>35-44</v>
      </c>
    </row>
    <row r="610" spans="1:19" x14ac:dyDescent="0.35">
      <c r="A610" s="2">
        <v>44544</v>
      </c>
      <c r="B610" s="2" t="str">
        <f>TEXT(Bike_Sales[[#This Row],[Date]],"mmmm")</f>
        <v>December</v>
      </c>
      <c r="C610" s="19">
        <f>MONTH(Bike_Sales[[#This Row],[Date]])</f>
        <v>12</v>
      </c>
      <c r="D610" s="2" t="str">
        <f>TEXT(Bike_Sales[[#This Row],[Date]],"dddd")</f>
        <v>Tuesday</v>
      </c>
      <c r="E610" s="3">
        <v>44</v>
      </c>
      <c r="F610" s="3" t="s">
        <v>126</v>
      </c>
      <c r="G610" s="3" t="s">
        <v>9</v>
      </c>
      <c r="H610" s="3" t="s">
        <v>10</v>
      </c>
      <c r="I610" s="3" t="s">
        <v>11</v>
      </c>
      <c r="J610" s="3" t="s">
        <v>101</v>
      </c>
      <c r="K610" s="3" t="s">
        <v>32</v>
      </c>
      <c r="L610" s="4">
        <v>1</v>
      </c>
      <c r="M610" s="3">
        <v>700</v>
      </c>
      <c r="N610" s="3">
        <v>1100</v>
      </c>
      <c r="O610" s="15">
        <f>Bike_Sales[[#This Row],[Order_Quantity]]*Bike_Sales[[#This Row],[Unit_Price]]</f>
        <v>1100</v>
      </c>
      <c r="P610" s="15">
        <f>Bike_Sales[[#This Row],[Order_Quantity]]*Bike_Sales[[#This Row],[Unit_Cost]]</f>
        <v>700</v>
      </c>
      <c r="Q610" s="15">
        <f>Bike_Sales[[#This Row],[Total Sales]]-Bike_Sales[[#This Row],[Total Cost]]</f>
        <v>400</v>
      </c>
      <c r="R610" s="17">
        <f>Bike_Sales[[#This Row],[Profit]]/Bike_Sales[[#This Row],[Total Sales]]</f>
        <v>0.36363636363636365</v>
      </c>
      <c r="S610" s="16" t="str">
        <f t="shared" si="9"/>
        <v>35-44</v>
      </c>
    </row>
    <row r="611" spans="1:19" x14ac:dyDescent="0.35">
      <c r="A611" s="2">
        <v>44544</v>
      </c>
      <c r="B611" s="2" t="str">
        <f>TEXT(Bike_Sales[[#This Row],[Date]],"mmmm")</f>
        <v>December</v>
      </c>
      <c r="C611" s="19">
        <f>MONTH(Bike_Sales[[#This Row],[Date]])</f>
        <v>12</v>
      </c>
      <c r="D611" s="2" t="str">
        <f>TEXT(Bike_Sales[[#This Row],[Date]],"dddd")</f>
        <v>Tuesday</v>
      </c>
      <c r="E611" s="3">
        <v>44</v>
      </c>
      <c r="F611" s="3" t="s">
        <v>126</v>
      </c>
      <c r="G611" s="3" t="s">
        <v>18</v>
      </c>
      <c r="H611" s="3" t="s">
        <v>24</v>
      </c>
      <c r="I611" s="3" t="s">
        <v>11</v>
      </c>
      <c r="J611" s="3" t="s">
        <v>102</v>
      </c>
      <c r="K611" s="3" t="s">
        <v>36</v>
      </c>
      <c r="L611" s="4">
        <v>1</v>
      </c>
      <c r="M611" s="3">
        <v>580</v>
      </c>
      <c r="N611" s="3">
        <v>920</v>
      </c>
      <c r="O611" s="15">
        <f>Bike_Sales[[#This Row],[Order_Quantity]]*Bike_Sales[[#This Row],[Unit_Price]]</f>
        <v>920</v>
      </c>
      <c r="P611" s="15">
        <f>Bike_Sales[[#This Row],[Order_Quantity]]*Bike_Sales[[#This Row],[Unit_Cost]]</f>
        <v>580</v>
      </c>
      <c r="Q611" s="15">
        <f>Bike_Sales[[#This Row],[Total Sales]]-Bike_Sales[[#This Row],[Total Cost]]</f>
        <v>340</v>
      </c>
      <c r="R611" s="17">
        <f>Bike_Sales[[#This Row],[Profit]]/Bike_Sales[[#This Row],[Total Sales]]</f>
        <v>0.36956521739130432</v>
      </c>
      <c r="S611" s="16" t="str">
        <f t="shared" si="9"/>
        <v>35-44</v>
      </c>
    </row>
    <row r="612" spans="1:19" x14ac:dyDescent="0.35">
      <c r="A612" s="2">
        <v>44547</v>
      </c>
      <c r="B612" s="2" t="str">
        <f>TEXT(Bike_Sales[[#This Row],[Date]],"mmmm")</f>
        <v>December</v>
      </c>
      <c r="C612" s="19">
        <f>MONTH(Bike_Sales[[#This Row],[Date]])</f>
        <v>12</v>
      </c>
      <c r="D612" s="2" t="str">
        <f>TEXT(Bike_Sales[[#This Row],[Date]],"dddd")</f>
        <v>Friday</v>
      </c>
      <c r="E612" s="3">
        <v>44</v>
      </c>
      <c r="F612" s="3" t="s">
        <v>126</v>
      </c>
      <c r="G612" s="3" t="s">
        <v>129</v>
      </c>
      <c r="H612" s="3" t="s">
        <v>15</v>
      </c>
      <c r="I612" s="3" t="s">
        <v>11</v>
      </c>
      <c r="J612" s="3" t="s">
        <v>104</v>
      </c>
      <c r="K612" s="3" t="s">
        <v>34</v>
      </c>
      <c r="L612" s="4">
        <v>1</v>
      </c>
      <c r="M612" s="3">
        <v>500</v>
      </c>
      <c r="N612" s="3">
        <v>800</v>
      </c>
      <c r="O612" s="15">
        <f>Bike_Sales[[#This Row],[Order_Quantity]]*Bike_Sales[[#This Row],[Unit_Price]]</f>
        <v>800</v>
      </c>
      <c r="P612" s="15">
        <f>Bike_Sales[[#This Row],[Order_Quantity]]*Bike_Sales[[#This Row],[Unit_Cost]]</f>
        <v>500</v>
      </c>
      <c r="Q612" s="15">
        <f>Bike_Sales[[#This Row],[Total Sales]]-Bike_Sales[[#This Row],[Total Cost]]</f>
        <v>300</v>
      </c>
      <c r="R612" s="17">
        <f>Bike_Sales[[#This Row],[Profit]]/Bike_Sales[[#This Row],[Total Sales]]</f>
        <v>0.375</v>
      </c>
      <c r="S612" s="16" t="str">
        <f t="shared" si="9"/>
        <v>35-44</v>
      </c>
    </row>
    <row r="613" spans="1:19" x14ac:dyDescent="0.35">
      <c r="A613" s="2">
        <v>44555</v>
      </c>
      <c r="B613" s="2" t="str">
        <f>TEXT(Bike_Sales[[#This Row],[Date]],"mmmm")</f>
        <v>December</v>
      </c>
      <c r="C613" s="19">
        <f>MONTH(Bike_Sales[[#This Row],[Date]])</f>
        <v>12</v>
      </c>
      <c r="D613" s="2" t="str">
        <f>TEXT(Bike_Sales[[#This Row],[Date]],"dddd")</f>
        <v>Saturday</v>
      </c>
      <c r="E613" s="3">
        <v>44</v>
      </c>
      <c r="F613" s="3" t="s">
        <v>126</v>
      </c>
      <c r="G613" s="3" t="s">
        <v>9</v>
      </c>
      <c r="H613" s="3" t="s">
        <v>10</v>
      </c>
      <c r="I613" s="3" t="s">
        <v>11</v>
      </c>
      <c r="J613" s="3" t="s">
        <v>101</v>
      </c>
      <c r="K613" s="3" t="s">
        <v>32</v>
      </c>
      <c r="L613" s="4">
        <v>1</v>
      </c>
      <c r="M613" s="3">
        <v>700</v>
      </c>
      <c r="N613" s="3">
        <v>1100</v>
      </c>
      <c r="O613" s="15">
        <f>Bike_Sales[[#This Row],[Order_Quantity]]*Bike_Sales[[#This Row],[Unit_Price]]</f>
        <v>1100</v>
      </c>
      <c r="P613" s="15">
        <f>Bike_Sales[[#This Row],[Order_Quantity]]*Bike_Sales[[#This Row],[Unit_Cost]]</f>
        <v>700</v>
      </c>
      <c r="Q613" s="15">
        <f>Bike_Sales[[#This Row],[Total Sales]]-Bike_Sales[[#This Row],[Total Cost]]</f>
        <v>400</v>
      </c>
      <c r="R613" s="17">
        <f>Bike_Sales[[#This Row],[Profit]]/Bike_Sales[[#This Row],[Total Sales]]</f>
        <v>0.36363636363636365</v>
      </c>
      <c r="S613" s="16" t="str">
        <f t="shared" si="9"/>
        <v>35-44</v>
      </c>
    </row>
    <row r="614" spans="1:19" x14ac:dyDescent="0.35">
      <c r="A614" s="2">
        <v>44557</v>
      </c>
      <c r="B614" s="2" t="str">
        <f>TEXT(Bike_Sales[[#This Row],[Date]],"mmmm")</f>
        <v>December</v>
      </c>
      <c r="C614" s="19">
        <f>MONTH(Bike_Sales[[#This Row],[Date]])</f>
        <v>12</v>
      </c>
      <c r="D614" s="2" t="str">
        <f>TEXT(Bike_Sales[[#This Row],[Date]],"dddd")</f>
        <v>Monday</v>
      </c>
      <c r="E614" s="3">
        <v>44</v>
      </c>
      <c r="F614" s="3" t="s">
        <v>126</v>
      </c>
      <c r="G614" s="3" t="s">
        <v>129</v>
      </c>
      <c r="H614" s="3" t="s">
        <v>15</v>
      </c>
      <c r="I614" s="3" t="s">
        <v>16</v>
      </c>
      <c r="J614" s="3" t="s">
        <v>103</v>
      </c>
      <c r="K614" s="3" t="s">
        <v>45</v>
      </c>
      <c r="L614" s="4">
        <v>2</v>
      </c>
      <c r="M614" s="3">
        <v>550</v>
      </c>
      <c r="N614" s="3">
        <v>850</v>
      </c>
      <c r="O614" s="15">
        <f>Bike_Sales[[#This Row],[Order_Quantity]]*Bike_Sales[[#This Row],[Unit_Price]]</f>
        <v>1700</v>
      </c>
      <c r="P614" s="15">
        <f>Bike_Sales[[#This Row],[Order_Quantity]]*Bike_Sales[[#This Row],[Unit_Cost]]</f>
        <v>1100</v>
      </c>
      <c r="Q614" s="15">
        <f>Bike_Sales[[#This Row],[Total Sales]]-Bike_Sales[[#This Row],[Total Cost]]</f>
        <v>600</v>
      </c>
      <c r="R614" s="17">
        <f>Bike_Sales[[#This Row],[Profit]]/Bike_Sales[[#This Row],[Total Sales]]</f>
        <v>0.35294117647058826</v>
      </c>
      <c r="S614" s="16" t="str">
        <f t="shared" si="9"/>
        <v>35-44</v>
      </c>
    </row>
    <row r="615" spans="1:19" x14ac:dyDescent="0.35">
      <c r="A615" s="2">
        <v>44558</v>
      </c>
      <c r="B615" s="2" t="str">
        <f>TEXT(Bike_Sales[[#This Row],[Date]],"mmmm")</f>
        <v>December</v>
      </c>
      <c r="C615" s="19">
        <f>MONTH(Bike_Sales[[#This Row],[Date]])</f>
        <v>12</v>
      </c>
      <c r="D615" s="2" t="str">
        <f>TEXT(Bike_Sales[[#This Row],[Date]],"dddd")</f>
        <v>Tuesday</v>
      </c>
      <c r="E615" s="3">
        <v>44</v>
      </c>
      <c r="F615" s="3" t="s">
        <v>135</v>
      </c>
      <c r="G615" s="3" t="s">
        <v>129</v>
      </c>
      <c r="H615" s="3" t="s">
        <v>15</v>
      </c>
      <c r="I615" s="3" t="s">
        <v>16</v>
      </c>
      <c r="J615" s="3" t="s">
        <v>101</v>
      </c>
      <c r="K615" s="3" t="s">
        <v>17</v>
      </c>
      <c r="L615" s="4">
        <v>3</v>
      </c>
      <c r="M615" s="3">
        <v>550</v>
      </c>
      <c r="N615" s="3">
        <v>850</v>
      </c>
      <c r="O615" s="15">
        <f>Bike_Sales[[#This Row],[Order_Quantity]]*Bike_Sales[[#This Row],[Unit_Price]]</f>
        <v>2550</v>
      </c>
      <c r="P615" s="15">
        <f>Bike_Sales[[#This Row],[Order_Quantity]]*Bike_Sales[[#This Row],[Unit_Cost]]</f>
        <v>1650</v>
      </c>
      <c r="Q615" s="15">
        <f>Bike_Sales[[#This Row],[Total Sales]]-Bike_Sales[[#This Row],[Total Cost]]</f>
        <v>900</v>
      </c>
      <c r="R615" s="17">
        <f>Bike_Sales[[#This Row],[Profit]]/Bike_Sales[[#This Row],[Total Sales]]</f>
        <v>0.35294117647058826</v>
      </c>
      <c r="S615" s="16" t="str">
        <f t="shared" si="9"/>
        <v>35-44</v>
      </c>
    </row>
    <row r="616" spans="1:19" x14ac:dyDescent="0.35">
      <c r="A616" s="2">
        <v>44559</v>
      </c>
      <c r="B616" s="2" t="str">
        <f>TEXT(Bike_Sales[[#This Row],[Date]],"mmmm")</f>
        <v>December</v>
      </c>
      <c r="C616" s="19">
        <f>MONTH(Bike_Sales[[#This Row],[Date]])</f>
        <v>12</v>
      </c>
      <c r="D616" s="2" t="str">
        <f>TEXT(Bike_Sales[[#This Row],[Date]],"dddd")</f>
        <v>Wednesday</v>
      </c>
      <c r="E616" s="3">
        <v>44</v>
      </c>
      <c r="F616" s="3" t="s">
        <v>135</v>
      </c>
      <c r="G616" s="3" t="s">
        <v>18</v>
      </c>
      <c r="H616" s="3" t="s">
        <v>19</v>
      </c>
      <c r="I616" s="3" t="s">
        <v>11</v>
      </c>
      <c r="J616" s="3" t="s">
        <v>101</v>
      </c>
      <c r="K616" s="3" t="s">
        <v>32</v>
      </c>
      <c r="L616" s="4">
        <v>2</v>
      </c>
      <c r="M616" s="3">
        <v>700</v>
      </c>
      <c r="N616" s="3">
        <v>1100</v>
      </c>
      <c r="O616" s="15">
        <f>Bike_Sales[[#This Row],[Order_Quantity]]*Bike_Sales[[#This Row],[Unit_Price]]</f>
        <v>2200</v>
      </c>
      <c r="P616" s="15">
        <f>Bike_Sales[[#This Row],[Order_Quantity]]*Bike_Sales[[#This Row],[Unit_Cost]]</f>
        <v>1400</v>
      </c>
      <c r="Q616" s="15">
        <f>Bike_Sales[[#This Row],[Total Sales]]-Bike_Sales[[#This Row],[Total Cost]]</f>
        <v>800</v>
      </c>
      <c r="R616" s="17">
        <f>Bike_Sales[[#This Row],[Profit]]/Bike_Sales[[#This Row],[Total Sales]]</f>
        <v>0.36363636363636365</v>
      </c>
      <c r="S616" s="16" t="str">
        <f t="shared" si="9"/>
        <v>35-44</v>
      </c>
    </row>
    <row r="617" spans="1:19" x14ac:dyDescent="0.35">
      <c r="A617" s="2">
        <v>44561</v>
      </c>
      <c r="B617" s="2" t="str">
        <f>TEXT(Bike_Sales[[#This Row],[Date]],"mmmm")</f>
        <v>December</v>
      </c>
      <c r="C617" s="19">
        <f>MONTH(Bike_Sales[[#This Row],[Date]])</f>
        <v>12</v>
      </c>
      <c r="D617" s="2" t="str">
        <f>TEXT(Bike_Sales[[#This Row],[Date]],"dddd")</f>
        <v>Friday</v>
      </c>
      <c r="E617" s="3">
        <v>44</v>
      </c>
      <c r="F617" s="3" t="s">
        <v>126</v>
      </c>
      <c r="G617" s="3" t="s">
        <v>18</v>
      </c>
      <c r="H617" s="3" t="s">
        <v>35</v>
      </c>
      <c r="I617" s="3" t="s">
        <v>11</v>
      </c>
      <c r="J617" s="3" t="s">
        <v>104</v>
      </c>
      <c r="K617" s="3" t="s">
        <v>68</v>
      </c>
      <c r="L617" s="4">
        <v>1</v>
      </c>
      <c r="M617" s="3">
        <v>500</v>
      </c>
      <c r="N617" s="3">
        <v>800</v>
      </c>
      <c r="O617" s="15">
        <f>Bike_Sales[[#This Row],[Order_Quantity]]*Bike_Sales[[#This Row],[Unit_Price]]</f>
        <v>800</v>
      </c>
      <c r="P617" s="15">
        <f>Bike_Sales[[#This Row],[Order_Quantity]]*Bike_Sales[[#This Row],[Unit_Cost]]</f>
        <v>500</v>
      </c>
      <c r="Q617" s="15">
        <f>Bike_Sales[[#This Row],[Total Sales]]-Bike_Sales[[#This Row],[Total Cost]]</f>
        <v>300</v>
      </c>
      <c r="R617" s="17">
        <f>Bike_Sales[[#This Row],[Profit]]/Bike_Sales[[#This Row],[Total Sales]]</f>
        <v>0.375</v>
      </c>
      <c r="S617" s="16" t="str">
        <f t="shared" si="9"/>
        <v>35-44</v>
      </c>
    </row>
    <row r="618" spans="1:19" x14ac:dyDescent="0.35">
      <c r="A618" s="2">
        <v>44473</v>
      </c>
      <c r="B618" s="2" t="str">
        <f>TEXT(Bike_Sales[[#This Row],[Date]],"mmmm")</f>
        <v>October</v>
      </c>
      <c r="C618" s="19">
        <f>MONTH(Bike_Sales[[#This Row],[Date]])</f>
        <v>10</v>
      </c>
      <c r="D618" s="2" t="str">
        <f>TEXT(Bike_Sales[[#This Row],[Date]],"dddd")</f>
        <v>Monday</v>
      </c>
      <c r="E618" s="3">
        <v>45</v>
      </c>
      <c r="F618" s="3" t="s">
        <v>135</v>
      </c>
      <c r="G618" s="3" t="s">
        <v>9</v>
      </c>
      <c r="H618" s="3" t="s">
        <v>10</v>
      </c>
      <c r="I618" s="3" t="s">
        <v>11</v>
      </c>
      <c r="J618" s="3" t="s">
        <v>101</v>
      </c>
      <c r="K618" s="3" t="s">
        <v>44</v>
      </c>
      <c r="L618" s="4">
        <v>2</v>
      </c>
      <c r="M618" s="3">
        <v>700</v>
      </c>
      <c r="N618" s="3">
        <v>1100</v>
      </c>
      <c r="O618" s="15">
        <f>Bike_Sales[[#This Row],[Order_Quantity]]*Bike_Sales[[#This Row],[Unit_Price]]</f>
        <v>2200</v>
      </c>
      <c r="P618" s="15">
        <f>Bike_Sales[[#This Row],[Order_Quantity]]*Bike_Sales[[#This Row],[Unit_Cost]]</f>
        <v>1400</v>
      </c>
      <c r="Q618" s="15">
        <f>Bike_Sales[[#This Row],[Total Sales]]-Bike_Sales[[#This Row],[Total Cost]]</f>
        <v>800</v>
      </c>
      <c r="R618" s="17">
        <f>Bike_Sales[[#This Row],[Profit]]/Bike_Sales[[#This Row],[Total Sales]]</f>
        <v>0.36363636363636365</v>
      </c>
      <c r="S618" s="16" t="str">
        <f t="shared" si="9"/>
        <v>45-54</v>
      </c>
    </row>
    <row r="619" spans="1:19" x14ac:dyDescent="0.35">
      <c r="A619" s="2">
        <v>44479</v>
      </c>
      <c r="B619" s="2" t="str">
        <f>TEXT(Bike_Sales[[#This Row],[Date]],"mmmm")</f>
        <v>October</v>
      </c>
      <c r="C619" s="19">
        <f>MONTH(Bike_Sales[[#This Row],[Date]])</f>
        <v>10</v>
      </c>
      <c r="D619" s="2" t="str">
        <f>TEXT(Bike_Sales[[#This Row],[Date]],"dddd")</f>
        <v>Sunday</v>
      </c>
      <c r="E619" s="3">
        <v>45</v>
      </c>
      <c r="F619" s="3" t="s">
        <v>135</v>
      </c>
      <c r="G619" s="3" t="s">
        <v>18</v>
      </c>
      <c r="H619" s="3" t="s">
        <v>24</v>
      </c>
      <c r="I619" s="3" t="s">
        <v>11</v>
      </c>
      <c r="J619" s="3" t="s">
        <v>104</v>
      </c>
      <c r="K619" s="3" t="s">
        <v>12</v>
      </c>
      <c r="L619" s="4">
        <v>1</v>
      </c>
      <c r="M619" s="3">
        <v>500</v>
      </c>
      <c r="N619" s="3">
        <v>800</v>
      </c>
      <c r="O619" s="15">
        <f>Bike_Sales[[#This Row],[Order_Quantity]]*Bike_Sales[[#This Row],[Unit_Price]]</f>
        <v>800</v>
      </c>
      <c r="P619" s="15">
        <f>Bike_Sales[[#This Row],[Order_Quantity]]*Bike_Sales[[#This Row],[Unit_Cost]]</f>
        <v>500</v>
      </c>
      <c r="Q619" s="15">
        <f>Bike_Sales[[#This Row],[Total Sales]]-Bike_Sales[[#This Row],[Total Cost]]</f>
        <v>300</v>
      </c>
      <c r="R619" s="17">
        <f>Bike_Sales[[#This Row],[Profit]]/Bike_Sales[[#This Row],[Total Sales]]</f>
        <v>0.375</v>
      </c>
      <c r="S619" s="16" t="str">
        <f t="shared" si="9"/>
        <v>45-54</v>
      </c>
    </row>
    <row r="620" spans="1:19" x14ac:dyDescent="0.35">
      <c r="A620" s="2">
        <v>44481</v>
      </c>
      <c r="B620" s="2" t="str">
        <f>TEXT(Bike_Sales[[#This Row],[Date]],"mmmm")</f>
        <v>October</v>
      </c>
      <c r="C620" s="19">
        <f>MONTH(Bike_Sales[[#This Row],[Date]])</f>
        <v>10</v>
      </c>
      <c r="D620" s="2" t="str">
        <f>TEXT(Bike_Sales[[#This Row],[Date]],"dddd")</f>
        <v>Tuesday</v>
      </c>
      <c r="E620" s="3">
        <v>45</v>
      </c>
      <c r="F620" s="3" t="s">
        <v>126</v>
      </c>
      <c r="G620" s="3" t="s">
        <v>9</v>
      </c>
      <c r="H620" s="3" t="s">
        <v>37</v>
      </c>
      <c r="I620" s="3" t="s">
        <v>11</v>
      </c>
      <c r="J620" s="3" t="s">
        <v>102</v>
      </c>
      <c r="K620" s="3" t="s">
        <v>26</v>
      </c>
      <c r="L620" s="4">
        <v>1</v>
      </c>
      <c r="M620" s="3">
        <v>900</v>
      </c>
      <c r="N620" s="3">
        <v>1400</v>
      </c>
      <c r="O620" s="15">
        <f>Bike_Sales[[#This Row],[Order_Quantity]]*Bike_Sales[[#This Row],[Unit_Price]]</f>
        <v>1400</v>
      </c>
      <c r="P620" s="15">
        <f>Bike_Sales[[#This Row],[Order_Quantity]]*Bike_Sales[[#This Row],[Unit_Cost]]</f>
        <v>900</v>
      </c>
      <c r="Q620" s="15">
        <f>Bike_Sales[[#This Row],[Total Sales]]-Bike_Sales[[#This Row],[Total Cost]]</f>
        <v>500</v>
      </c>
      <c r="R620" s="17">
        <f>Bike_Sales[[#This Row],[Profit]]/Bike_Sales[[#This Row],[Total Sales]]</f>
        <v>0.35714285714285715</v>
      </c>
      <c r="S620" s="16" t="str">
        <f t="shared" si="9"/>
        <v>45-54</v>
      </c>
    </row>
    <row r="621" spans="1:19" x14ac:dyDescent="0.35">
      <c r="A621" s="2">
        <v>44482</v>
      </c>
      <c r="B621" s="2" t="str">
        <f>TEXT(Bike_Sales[[#This Row],[Date]],"mmmm")</f>
        <v>October</v>
      </c>
      <c r="C621" s="19">
        <f>MONTH(Bike_Sales[[#This Row],[Date]])</f>
        <v>10</v>
      </c>
      <c r="D621" s="2" t="str">
        <f>TEXT(Bike_Sales[[#This Row],[Date]],"dddd")</f>
        <v>Wednesday</v>
      </c>
      <c r="E621" s="3">
        <v>45</v>
      </c>
      <c r="F621" s="3" t="s">
        <v>126</v>
      </c>
      <c r="G621" s="3" t="s">
        <v>18</v>
      </c>
      <c r="H621" s="3" t="s">
        <v>21</v>
      </c>
      <c r="I621" s="3" t="s">
        <v>11</v>
      </c>
      <c r="J621" s="3" t="s">
        <v>101</v>
      </c>
      <c r="K621" s="3" t="s">
        <v>67</v>
      </c>
      <c r="L621" s="4">
        <v>1</v>
      </c>
      <c r="M621" s="3">
        <v>700</v>
      </c>
      <c r="N621" s="3">
        <v>1100</v>
      </c>
      <c r="O621" s="15">
        <f>Bike_Sales[[#This Row],[Order_Quantity]]*Bike_Sales[[#This Row],[Unit_Price]]</f>
        <v>1100</v>
      </c>
      <c r="P621" s="15">
        <f>Bike_Sales[[#This Row],[Order_Quantity]]*Bike_Sales[[#This Row],[Unit_Cost]]</f>
        <v>700</v>
      </c>
      <c r="Q621" s="15">
        <f>Bike_Sales[[#This Row],[Total Sales]]-Bike_Sales[[#This Row],[Total Cost]]</f>
        <v>400</v>
      </c>
      <c r="R621" s="17">
        <f>Bike_Sales[[#This Row],[Profit]]/Bike_Sales[[#This Row],[Total Sales]]</f>
        <v>0.36363636363636365</v>
      </c>
      <c r="S621" s="16" t="str">
        <f t="shared" si="9"/>
        <v>45-54</v>
      </c>
    </row>
    <row r="622" spans="1:19" x14ac:dyDescent="0.35">
      <c r="A622" s="2">
        <v>44483</v>
      </c>
      <c r="B622" s="2" t="str">
        <f>TEXT(Bike_Sales[[#This Row],[Date]],"mmmm")</f>
        <v>October</v>
      </c>
      <c r="C622" s="19">
        <f>MONTH(Bike_Sales[[#This Row],[Date]])</f>
        <v>10</v>
      </c>
      <c r="D622" s="2" t="str">
        <f>TEXT(Bike_Sales[[#This Row],[Date]],"dddd")</f>
        <v>Thursday</v>
      </c>
      <c r="E622" s="3">
        <v>45</v>
      </c>
      <c r="F622" s="3" t="s">
        <v>135</v>
      </c>
      <c r="G622" s="3" t="s">
        <v>18</v>
      </c>
      <c r="H622" s="3" t="s">
        <v>35</v>
      </c>
      <c r="I622" s="3" t="s">
        <v>11</v>
      </c>
      <c r="J622" s="3" t="s">
        <v>101</v>
      </c>
      <c r="K622" s="3" t="s">
        <v>32</v>
      </c>
      <c r="L622" s="4">
        <v>2</v>
      </c>
      <c r="M622" s="3">
        <v>700</v>
      </c>
      <c r="N622" s="3">
        <v>1100</v>
      </c>
      <c r="O622" s="15">
        <f>Bike_Sales[[#This Row],[Order_Quantity]]*Bike_Sales[[#This Row],[Unit_Price]]</f>
        <v>2200</v>
      </c>
      <c r="P622" s="15">
        <f>Bike_Sales[[#This Row],[Order_Quantity]]*Bike_Sales[[#This Row],[Unit_Cost]]</f>
        <v>1400</v>
      </c>
      <c r="Q622" s="15">
        <f>Bike_Sales[[#This Row],[Total Sales]]-Bike_Sales[[#This Row],[Total Cost]]</f>
        <v>800</v>
      </c>
      <c r="R622" s="17">
        <f>Bike_Sales[[#This Row],[Profit]]/Bike_Sales[[#This Row],[Total Sales]]</f>
        <v>0.36363636363636365</v>
      </c>
      <c r="S622" s="16" t="str">
        <f t="shared" si="9"/>
        <v>45-54</v>
      </c>
    </row>
    <row r="623" spans="1:19" x14ac:dyDescent="0.35">
      <c r="A623" s="2">
        <v>44486</v>
      </c>
      <c r="B623" s="2" t="str">
        <f>TEXT(Bike_Sales[[#This Row],[Date]],"mmmm")</f>
        <v>October</v>
      </c>
      <c r="C623" s="19">
        <f>MONTH(Bike_Sales[[#This Row],[Date]])</f>
        <v>10</v>
      </c>
      <c r="D623" s="2" t="str">
        <f>TEXT(Bike_Sales[[#This Row],[Date]],"dddd")</f>
        <v>Sunday</v>
      </c>
      <c r="E623" s="3">
        <v>45</v>
      </c>
      <c r="F623" s="3" t="s">
        <v>135</v>
      </c>
      <c r="G623" s="3" t="s">
        <v>9</v>
      </c>
      <c r="H623" s="3" t="s">
        <v>37</v>
      </c>
      <c r="I623" s="3" t="s">
        <v>11</v>
      </c>
      <c r="J623" s="3" t="s">
        <v>101</v>
      </c>
      <c r="K623" s="3" t="s">
        <v>46</v>
      </c>
      <c r="L623" s="4">
        <v>3</v>
      </c>
      <c r="M623" s="3">
        <v>580</v>
      </c>
      <c r="N623" s="3">
        <v>920</v>
      </c>
      <c r="O623" s="15">
        <f>Bike_Sales[[#This Row],[Order_Quantity]]*Bike_Sales[[#This Row],[Unit_Price]]</f>
        <v>2760</v>
      </c>
      <c r="P623" s="15">
        <f>Bike_Sales[[#This Row],[Order_Quantity]]*Bike_Sales[[#This Row],[Unit_Cost]]</f>
        <v>1740</v>
      </c>
      <c r="Q623" s="15">
        <f>Bike_Sales[[#This Row],[Total Sales]]-Bike_Sales[[#This Row],[Total Cost]]</f>
        <v>1020</v>
      </c>
      <c r="R623" s="17">
        <f>Bike_Sales[[#This Row],[Profit]]/Bike_Sales[[#This Row],[Total Sales]]</f>
        <v>0.36956521739130432</v>
      </c>
      <c r="S623" s="16" t="str">
        <f t="shared" si="9"/>
        <v>45-54</v>
      </c>
    </row>
    <row r="624" spans="1:19" x14ac:dyDescent="0.35">
      <c r="A624" s="2">
        <v>44488</v>
      </c>
      <c r="B624" s="2" t="str">
        <f>TEXT(Bike_Sales[[#This Row],[Date]],"mmmm")</f>
        <v>October</v>
      </c>
      <c r="C624" s="19">
        <f>MONTH(Bike_Sales[[#This Row],[Date]])</f>
        <v>10</v>
      </c>
      <c r="D624" s="2" t="str">
        <f>TEXT(Bike_Sales[[#This Row],[Date]],"dddd")</f>
        <v>Tuesday</v>
      </c>
      <c r="E624" s="3">
        <v>45</v>
      </c>
      <c r="F624" s="3" t="s">
        <v>126</v>
      </c>
      <c r="G624" s="3" t="s">
        <v>9</v>
      </c>
      <c r="H624" s="3" t="s">
        <v>37</v>
      </c>
      <c r="I624" s="3" t="s">
        <v>11</v>
      </c>
      <c r="J624" s="3" t="s">
        <v>102</v>
      </c>
      <c r="K624" s="3" t="s">
        <v>26</v>
      </c>
      <c r="L624" s="4">
        <v>2</v>
      </c>
      <c r="M624" s="3">
        <v>900</v>
      </c>
      <c r="N624" s="3">
        <v>1400</v>
      </c>
      <c r="O624" s="15">
        <f>Bike_Sales[[#This Row],[Order_Quantity]]*Bike_Sales[[#This Row],[Unit_Price]]</f>
        <v>2800</v>
      </c>
      <c r="P624" s="15">
        <f>Bike_Sales[[#This Row],[Order_Quantity]]*Bike_Sales[[#This Row],[Unit_Cost]]</f>
        <v>1800</v>
      </c>
      <c r="Q624" s="15">
        <f>Bike_Sales[[#This Row],[Total Sales]]-Bike_Sales[[#This Row],[Total Cost]]</f>
        <v>1000</v>
      </c>
      <c r="R624" s="17">
        <f>Bike_Sales[[#This Row],[Profit]]/Bike_Sales[[#This Row],[Total Sales]]</f>
        <v>0.35714285714285715</v>
      </c>
      <c r="S624" s="16" t="str">
        <f t="shared" si="9"/>
        <v>45-54</v>
      </c>
    </row>
    <row r="625" spans="1:19" x14ac:dyDescent="0.35">
      <c r="A625" s="2">
        <v>44491</v>
      </c>
      <c r="B625" s="2" t="str">
        <f>TEXT(Bike_Sales[[#This Row],[Date]],"mmmm")</f>
        <v>October</v>
      </c>
      <c r="C625" s="19">
        <f>MONTH(Bike_Sales[[#This Row],[Date]])</f>
        <v>10</v>
      </c>
      <c r="D625" s="2" t="str">
        <f>TEXT(Bike_Sales[[#This Row],[Date]],"dddd")</f>
        <v>Friday</v>
      </c>
      <c r="E625" s="3">
        <v>45</v>
      </c>
      <c r="F625" s="3" t="s">
        <v>135</v>
      </c>
      <c r="G625" s="3" t="s">
        <v>9</v>
      </c>
      <c r="H625" s="3" t="s">
        <v>10</v>
      </c>
      <c r="I625" s="3" t="s">
        <v>11</v>
      </c>
      <c r="J625" s="3" t="s">
        <v>101</v>
      </c>
      <c r="K625" s="3" t="s">
        <v>44</v>
      </c>
      <c r="L625" s="4">
        <v>1</v>
      </c>
      <c r="M625" s="3">
        <v>700</v>
      </c>
      <c r="N625" s="3">
        <v>1100</v>
      </c>
      <c r="O625" s="15">
        <f>Bike_Sales[[#This Row],[Order_Quantity]]*Bike_Sales[[#This Row],[Unit_Price]]</f>
        <v>1100</v>
      </c>
      <c r="P625" s="15">
        <f>Bike_Sales[[#This Row],[Order_Quantity]]*Bike_Sales[[#This Row],[Unit_Cost]]</f>
        <v>700</v>
      </c>
      <c r="Q625" s="15">
        <f>Bike_Sales[[#This Row],[Total Sales]]-Bike_Sales[[#This Row],[Total Cost]]</f>
        <v>400</v>
      </c>
      <c r="R625" s="17">
        <f>Bike_Sales[[#This Row],[Profit]]/Bike_Sales[[#This Row],[Total Sales]]</f>
        <v>0.36363636363636365</v>
      </c>
      <c r="S625" s="16" t="str">
        <f t="shared" si="9"/>
        <v>45-54</v>
      </c>
    </row>
    <row r="626" spans="1:19" x14ac:dyDescent="0.35">
      <c r="A626" s="2">
        <v>44500</v>
      </c>
      <c r="B626" s="2" t="str">
        <f>TEXT(Bike_Sales[[#This Row],[Date]],"mmmm")</f>
        <v>October</v>
      </c>
      <c r="C626" s="19">
        <f>MONTH(Bike_Sales[[#This Row],[Date]])</f>
        <v>10</v>
      </c>
      <c r="D626" s="2" t="str">
        <f>TEXT(Bike_Sales[[#This Row],[Date]],"dddd")</f>
        <v>Sunday</v>
      </c>
      <c r="E626" s="3">
        <v>45</v>
      </c>
      <c r="F626" s="3" t="s">
        <v>135</v>
      </c>
      <c r="G626" s="3" t="s">
        <v>9</v>
      </c>
      <c r="H626" s="3" t="s">
        <v>10</v>
      </c>
      <c r="I626" s="3" t="s">
        <v>11</v>
      </c>
      <c r="J626" s="3" t="s">
        <v>101</v>
      </c>
      <c r="K626" s="3" t="s">
        <v>44</v>
      </c>
      <c r="L626" s="4">
        <v>2</v>
      </c>
      <c r="M626" s="3">
        <v>700</v>
      </c>
      <c r="N626" s="3">
        <v>1100</v>
      </c>
      <c r="O626" s="15">
        <f>Bike_Sales[[#This Row],[Order_Quantity]]*Bike_Sales[[#This Row],[Unit_Price]]</f>
        <v>2200</v>
      </c>
      <c r="P626" s="15">
        <f>Bike_Sales[[#This Row],[Order_Quantity]]*Bike_Sales[[#This Row],[Unit_Cost]]</f>
        <v>1400</v>
      </c>
      <c r="Q626" s="15">
        <f>Bike_Sales[[#This Row],[Total Sales]]-Bike_Sales[[#This Row],[Total Cost]]</f>
        <v>800</v>
      </c>
      <c r="R626" s="17">
        <f>Bike_Sales[[#This Row],[Profit]]/Bike_Sales[[#This Row],[Total Sales]]</f>
        <v>0.36363636363636365</v>
      </c>
      <c r="S626" s="16" t="str">
        <f t="shared" si="9"/>
        <v>45-54</v>
      </c>
    </row>
    <row r="627" spans="1:19" x14ac:dyDescent="0.35">
      <c r="A627" s="2">
        <v>44503</v>
      </c>
      <c r="B627" s="2" t="str">
        <f>TEXT(Bike_Sales[[#This Row],[Date]],"mmmm")</f>
        <v>November</v>
      </c>
      <c r="C627" s="19">
        <f>MONTH(Bike_Sales[[#This Row],[Date]])</f>
        <v>11</v>
      </c>
      <c r="D627" s="2" t="str">
        <f>TEXT(Bike_Sales[[#This Row],[Date]],"dddd")</f>
        <v>Wednesday</v>
      </c>
      <c r="E627" s="3">
        <v>45</v>
      </c>
      <c r="F627" s="3" t="s">
        <v>135</v>
      </c>
      <c r="G627" s="3" t="s">
        <v>13</v>
      </c>
      <c r="H627" s="3" t="s">
        <v>127</v>
      </c>
      <c r="I627" s="3" t="s">
        <v>16</v>
      </c>
      <c r="J627" s="3" t="s">
        <v>103</v>
      </c>
      <c r="K627" s="3" t="s">
        <v>22</v>
      </c>
      <c r="L627" s="4">
        <v>1</v>
      </c>
      <c r="M627" s="3">
        <v>550</v>
      </c>
      <c r="N627" s="3">
        <v>850</v>
      </c>
      <c r="O627" s="15">
        <f>Bike_Sales[[#This Row],[Order_Quantity]]*Bike_Sales[[#This Row],[Unit_Price]]</f>
        <v>850</v>
      </c>
      <c r="P627" s="15">
        <f>Bike_Sales[[#This Row],[Order_Quantity]]*Bike_Sales[[#This Row],[Unit_Cost]]</f>
        <v>550</v>
      </c>
      <c r="Q627" s="15">
        <f>Bike_Sales[[#This Row],[Total Sales]]-Bike_Sales[[#This Row],[Total Cost]]</f>
        <v>300</v>
      </c>
      <c r="R627" s="17">
        <f>Bike_Sales[[#This Row],[Profit]]/Bike_Sales[[#This Row],[Total Sales]]</f>
        <v>0.35294117647058826</v>
      </c>
      <c r="S627" s="16" t="str">
        <f t="shared" si="9"/>
        <v>45-54</v>
      </c>
    </row>
    <row r="628" spans="1:19" x14ac:dyDescent="0.35">
      <c r="A628" s="2">
        <v>44519</v>
      </c>
      <c r="B628" s="2" t="str">
        <f>TEXT(Bike_Sales[[#This Row],[Date]],"mmmm")</f>
        <v>November</v>
      </c>
      <c r="C628" s="19">
        <f>MONTH(Bike_Sales[[#This Row],[Date]])</f>
        <v>11</v>
      </c>
      <c r="D628" s="2" t="str">
        <f>TEXT(Bike_Sales[[#This Row],[Date]],"dddd")</f>
        <v>Friday</v>
      </c>
      <c r="E628" s="3">
        <v>45</v>
      </c>
      <c r="F628" s="3" t="s">
        <v>126</v>
      </c>
      <c r="G628" s="3" t="s">
        <v>129</v>
      </c>
      <c r="H628" s="3" t="s">
        <v>15</v>
      </c>
      <c r="I628" s="3" t="s">
        <v>11</v>
      </c>
      <c r="J628" s="3" t="s">
        <v>101</v>
      </c>
      <c r="K628" s="3" t="s">
        <v>85</v>
      </c>
      <c r="L628" s="4">
        <v>1</v>
      </c>
      <c r="M628" s="3">
        <v>620</v>
      </c>
      <c r="N628" s="3">
        <v>980</v>
      </c>
      <c r="O628" s="15">
        <f>Bike_Sales[[#This Row],[Order_Quantity]]*Bike_Sales[[#This Row],[Unit_Price]]</f>
        <v>980</v>
      </c>
      <c r="P628" s="15">
        <f>Bike_Sales[[#This Row],[Order_Quantity]]*Bike_Sales[[#This Row],[Unit_Cost]]</f>
        <v>620</v>
      </c>
      <c r="Q628" s="15">
        <f>Bike_Sales[[#This Row],[Total Sales]]-Bike_Sales[[#This Row],[Total Cost]]</f>
        <v>360</v>
      </c>
      <c r="R628" s="17">
        <f>Bike_Sales[[#This Row],[Profit]]/Bike_Sales[[#This Row],[Total Sales]]</f>
        <v>0.36734693877551022</v>
      </c>
      <c r="S628" s="16" t="str">
        <f t="shared" si="9"/>
        <v>45-54</v>
      </c>
    </row>
    <row r="629" spans="1:19" x14ac:dyDescent="0.35">
      <c r="A629" s="2">
        <v>44522</v>
      </c>
      <c r="B629" s="2" t="str">
        <f>TEXT(Bike_Sales[[#This Row],[Date]],"mmmm")</f>
        <v>November</v>
      </c>
      <c r="C629" s="19">
        <f>MONTH(Bike_Sales[[#This Row],[Date]])</f>
        <v>11</v>
      </c>
      <c r="D629" s="2" t="str">
        <f>TEXT(Bike_Sales[[#This Row],[Date]],"dddd")</f>
        <v>Monday</v>
      </c>
      <c r="E629" s="3">
        <v>45</v>
      </c>
      <c r="F629" s="3" t="s">
        <v>126</v>
      </c>
      <c r="G629" s="3" t="s">
        <v>129</v>
      </c>
      <c r="H629" s="3" t="s">
        <v>15</v>
      </c>
      <c r="I629" s="3" t="s">
        <v>11</v>
      </c>
      <c r="J629" s="3" t="s">
        <v>101</v>
      </c>
      <c r="K629" s="3" t="s">
        <v>85</v>
      </c>
      <c r="L629" s="4">
        <v>2</v>
      </c>
      <c r="M629" s="3">
        <v>620</v>
      </c>
      <c r="N629" s="3">
        <v>980</v>
      </c>
      <c r="O629" s="15">
        <f>Bike_Sales[[#This Row],[Order_Quantity]]*Bike_Sales[[#This Row],[Unit_Price]]</f>
        <v>1960</v>
      </c>
      <c r="P629" s="15">
        <f>Bike_Sales[[#This Row],[Order_Quantity]]*Bike_Sales[[#This Row],[Unit_Cost]]</f>
        <v>1240</v>
      </c>
      <c r="Q629" s="15">
        <f>Bike_Sales[[#This Row],[Total Sales]]-Bike_Sales[[#This Row],[Total Cost]]</f>
        <v>720</v>
      </c>
      <c r="R629" s="17">
        <f>Bike_Sales[[#This Row],[Profit]]/Bike_Sales[[#This Row],[Total Sales]]</f>
        <v>0.36734693877551022</v>
      </c>
      <c r="S629" s="16" t="str">
        <f t="shared" si="9"/>
        <v>45-54</v>
      </c>
    </row>
    <row r="630" spans="1:19" x14ac:dyDescent="0.35">
      <c r="A630" s="2">
        <v>44533</v>
      </c>
      <c r="B630" s="2" t="str">
        <f>TEXT(Bike_Sales[[#This Row],[Date]],"mmmm")</f>
        <v>December</v>
      </c>
      <c r="C630" s="19">
        <f>MONTH(Bike_Sales[[#This Row],[Date]])</f>
        <v>12</v>
      </c>
      <c r="D630" s="2" t="str">
        <f>TEXT(Bike_Sales[[#This Row],[Date]],"dddd")</f>
        <v>Friday</v>
      </c>
      <c r="E630" s="3">
        <v>45</v>
      </c>
      <c r="F630" s="3" t="s">
        <v>135</v>
      </c>
      <c r="G630" s="3" t="s">
        <v>18</v>
      </c>
      <c r="H630" s="3" t="s">
        <v>24</v>
      </c>
      <c r="I630" s="3" t="s">
        <v>11</v>
      </c>
      <c r="J630" s="3" t="s">
        <v>104</v>
      </c>
      <c r="K630" s="3" t="s">
        <v>12</v>
      </c>
      <c r="L630" s="4">
        <v>1</v>
      </c>
      <c r="M630" s="3">
        <v>500</v>
      </c>
      <c r="N630" s="3">
        <v>800</v>
      </c>
      <c r="O630" s="15">
        <f>Bike_Sales[[#This Row],[Order_Quantity]]*Bike_Sales[[#This Row],[Unit_Price]]</f>
        <v>800</v>
      </c>
      <c r="P630" s="15">
        <f>Bike_Sales[[#This Row],[Order_Quantity]]*Bike_Sales[[#This Row],[Unit_Cost]]</f>
        <v>500</v>
      </c>
      <c r="Q630" s="15">
        <f>Bike_Sales[[#This Row],[Total Sales]]-Bike_Sales[[#This Row],[Total Cost]]</f>
        <v>300</v>
      </c>
      <c r="R630" s="17">
        <f>Bike_Sales[[#This Row],[Profit]]/Bike_Sales[[#This Row],[Total Sales]]</f>
        <v>0.375</v>
      </c>
      <c r="S630" s="16" t="str">
        <f t="shared" si="9"/>
        <v>45-54</v>
      </c>
    </row>
    <row r="631" spans="1:19" x14ac:dyDescent="0.35">
      <c r="A631" s="2">
        <v>44537</v>
      </c>
      <c r="B631" s="2" t="str">
        <f>TEXT(Bike_Sales[[#This Row],[Date]],"mmmm")</f>
        <v>December</v>
      </c>
      <c r="C631" s="19">
        <f>MONTH(Bike_Sales[[#This Row],[Date]])</f>
        <v>12</v>
      </c>
      <c r="D631" s="2" t="str">
        <f>TEXT(Bike_Sales[[#This Row],[Date]],"dddd")</f>
        <v>Tuesday</v>
      </c>
      <c r="E631" s="3">
        <v>45</v>
      </c>
      <c r="F631" s="3" t="s">
        <v>126</v>
      </c>
      <c r="G631" s="3" t="s">
        <v>33</v>
      </c>
      <c r="H631" s="3" t="s">
        <v>128</v>
      </c>
      <c r="I631" s="3" t="s">
        <v>11</v>
      </c>
      <c r="J631" s="3" t="s">
        <v>101</v>
      </c>
      <c r="K631" s="3" t="s">
        <v>32</v>
      </c>
      <c r="L631" s="4">
        <v>4</v>
      </c>
      <c r="M631" s="3">
        <v>700</v>
      </c>
      <c r="N631" s="3">
        <v>1100</v>
      </c>
      <c r="O631" s="15">
        <f>Bike_Sales[[#This Row],[Order_Quantity]]*Bike_Sales[[#This Row],[Unit_Price]]</f>
        <v>4400</v>
      </c>
      <c r="P631" s="15">
        <f>Bike_Sales[[#This Row],[Order_Quantity]]*Bike_Sales[[#This Row],[Unit_Cost]]</f>
        <v>2800</v>
      </c>
      <c r="Q631" s="15">
        <f>Bike_Sales[[#This Row],[Total Sales]]-Bike_Sales[[#This Row],[Total Cost]]</f>
        <v>1600</v>
      </c>
      <c r="R631" s="17">
        <f>Bike_Sales[[#This Row],[Profit]]/Bike_Sales[[#This Row],[Total Sales]]</f>
        <v>0.36363636363636365</v>
      </c>
      <c r="S631" s="16" t="str">
        <f t="shared" si="9"/>
        <v>45-54</v>
      </c>
    </row>
    <row r="632" spans="1:19" x14ac:dyDescent="0.35">
      <c r="A632" s="2">
        <v>44537</v>
      </c>
      <c r="B632" s="2" t="str">
        <f>TEXT(Bike_Sales[[#This Row],[Date]],"mmmm")</f>
        <v>December</v>
      </c>
      <c r="C632" s="19">
        <f>MONTH(Bike_Sales[[#This Row],[Date]])</f>
        <v>12</v>
      </c>
      <c r="D632" s="2" t="str">
        <f>TEXT(Bike_Sales[[#This Row],[Date]],"dddd")</f>
        <v>Tuesday</v>
      </c>
      <c r="E632" s="3">
        <v>45</v>
      </c>
      <c r="F632" s="3" t="s">
        <v>126</v>
      </c>
      <c r="G632" s="3" t="s">
        <v>9</v>
      </c>
      <c r="H632" s="3" t="s">
        <v>37</v>
      </c>
      <c r="I632" s="3" t="s">
        <v>11</v>
      </c>
      <c r="J632" s="3" t="s">
        <v>102</v>
      </c>
      <c r="K632" s="3" t="s">
        <v>26</v>
      </c>
      <c r="L632" s="4">
        <v>1</v>
      </c>
      <c r="M632" s="3">
        <v>900</v>
      </c>
      <c r="N632" s="3">
        <v>1400</v>
      </c>
      <c r="O632" s="15">
        <f>Bike_Sales[[#This Row],[Order_Quantity]]*Bike_Sales[[#This Row],[Unit_Price]]</f>
        <v>1400</v>
      </c>
      <c r="P632" s="15">
        <f>Bike_Sales[[#This Row],[Order_Quantity]]*Bike_Sales[[#This Row],[Unit_Cost]]</f>
        <v>900</v>
      </c>
      <c r="Q632" s="15">
        <f>Bike_Sales[[#This Row],[Total Sales]]-Bike_Sales[[#This Row],[Total Cost]]</f>
        <v>500</v>
      </c>
      <c r="R632" s="17">
        <f>Bike_Sales[[#This Row],[Profit]]/Bike_Sales[[#This Row],[Total Sales]]</f>
        <v>0.35714285714285715</v>
      </c>
      <c r="S632" s="16" t="str">
        <f t="shared" si="9"/>
        <v>45-54</v>
      </c>
    </row>
    <row r="633" spans="1:19" x14ac:dyDescent="0.35">
      <c r="A633" s="2">
        <v>44538</v>
      </c>
      <c r="B633" s="2" t="str">
        <f>TEXT(Bike_Sales[[#This Row],[Date]],"mmmm")</f>
        <v>December</v>
      </c>
      <c r="C633" s="19">
        <f>MONTH(Bike_Sales[[#This Row],[Date]])</f>
        <v>12</v>
      </c>
      <c r="D633" s="2" t="str">
        <f>TEXT(Bike_Sales[[#This Row],[Date]],"dddd")</f>
        <v>Wednesday</v>
      </c>
      <c r="E633" s="3">
        <v>45</v>
      </c>
      <c r="F633" s="3" t="s">
        <v>126</v>
      </c>
      <c r="G633" s="3" t="s">
        <v>129</v>
      </c>
      <c r="H633" s="3" t="s">
        <v>15</v>
      </c>
      <c r="I633" s="3" t="s">
        <v>11</v>
      </c>
      <c r="J633" s="3" t="s">
        <v>101</v>
      </c>
      <c r="K633" s="3" t="s">
        <v>85</v>
      </c>
      <c r="L633" s="4">
        <v>1</v>
      </c>
      <c r="M633" s="3">
        <v>620</v>
      </c>
      <c r="N633" s="3">
        <v>980</v>
      </c>
      <c r="O633" s="15">
        <f>Bike_Sales[[#This Row],[Order_Quantity]]*Bike_Sales[[#This Row],[Unit_Price]]</f>
        <v>980</v>
      </c>
      <c r="P633" s="15">
        <f>Bike_Sales[[#This Row],[Order_Quantity]]*Bike_Sales[[#This Row],[Unit_Cost]]</f>
        <v>620</v>
      </c>
      <c r="Q633" s="15">
        <f>Bike_Sales[[#This Row],[Total Sales]]-Bike_Sales[[#This Row],[Total Cost]]</f>
        <v>360</v>
      </c>
      <c r="R633" s="17">
        <f>Bike_Sales[[#This Row],[Profit]]/Bike_Sales[[#This Row],[Total Sales]]</f>
        <v>0.36734693877551022</v>
      </c>
      <c r="S633" s="16" t="str">
        <f t="shared" si="9"/>
        <v>45-54</v>
      </c>
    </row>
    <row r="634" spans="1:19" x14ac:dyDescent="0.35">
      <c r="A634" s="2">
        <v>44548</v>
      </c>
      <c r="B634" s="2" t="str">
        <f>TEXT(Bike_Sales[[#This Row],[Date]],"mmmm")</f>
        <v>December</v>
      </c>
      <c r="C634" s="19">
        <f>MONTH(Bike_Sales[[#This Row],[Date]])</f>
        <v>12</v>
      </c>
      <c r="D634" s="2" t="str">
        <f>TEXT(Bike_Sales[[#This Row],[Date]],"dddd")</f>
        <v>Saturday</v>
      </c>
      <c r="E634" s="3">
        <v>45</v>
      </c>
      <c r="F634" s="3" t="s">
        <v>135</v>
      </c>
      <c r="G634" s="3" t="s">
        <v>18</v>
      </c>
      <c r="H634" s="3" t="s">
        <v>24</v>
      </c>
      <c r="I634" s="3" t="s">
        <v>11</v>
      </c>
      <c r="J634" s="3" t="s">
        <v>104</v>
      </c>
      <c r="K634" s="3" t="s">
        <v>12</v>
      </c>
      <c r="L634" s="4">
        <v>1</v>
      </c>
      <c r="M634" s="3">
        <v>500</v>
      </c>
      <c r="N634" s="3">
        <v>800</v>
      </c>
      <c r="O634" s="15">
        <f>Bike_Sales[[#This Row],[Order_Quantity]]*Bike_Sales[[#This Row],[Unit_Price]]</f>
        <v>800</v>
      </c>
      <c r="P634" s="15">
        <f>Bike_Sales[[#This Row],[Order_Quantity]]*Bike_Sales[[#This Row],[Unit_Cost]]</f>
        <v>500</v>
      </c>
      <c r="Q634" s="15">
        <f>Bike_Sales[[#This Row],[Total Sales]]-Bike_Sales[[#This Row],[Total Cost]]</f>
        <v>300</v>
      </c>
      <c r="R634" s="17">
        <f>Bike_Sales[[#This Row],[Profit]]/Bike_Sales[[#This Row],[Total Sales]]</f>
        <v>0.375</v>
      </c>
      <c r="S634" s="16" t="str">
        <f t="shared" si="9"/>
        <v>45-54</v>
      </c>
    </row>
    <row r="635" spans="1:19" x14ac:dyDescent="0.35">
      <c r="A635" s="2">
        <v>44558</v>
      </c>
      <c r="B635" s="2" t="str">
        <f>TEXT(Bike_Sales[[#This Row],[Date]],"mmmm")</f>
        <v>December</v>
      </c>
      <c r="C635" s="19">
        <f>MONTH(Bike_Sales[[#This Row],[Date]])</f>
        <v>12</v>
      </c>
      <c r="D635" s="2" t="str">
        <f>TEXT(Bike_Sales[[#This Row],[Date]],"dddd")</f>
        <v>Tuesday</v>
      </c>
      <c r="E635" s="3">
        <v>45</v>
      </c>
      <c r="F635" s="3" t="s">
        <v>135</v>
      </c>
      <c r="G635" s="3" t="s">
        <v>18</v>
      </c>
      <c r="H635" s="3" t="s">
        <v>19</v>
      </c>
      <c r="I635" s="3" t="s">
        <v>11</v>
      </c>
      <c r="J635" s="3" t="s">
        <v>101</v>
      </c>
      <c r="K635" s="3" t="s">
        <v>32</v>
      </c>
      <c r="L635" s="4">
        <v>4</v>
      </c>
      <c r="M635" s="3">
        <v>700</v>
      </c>
      <c r="N635" s="3">
        <v>1100</v>
      </c>
      <c r="O635" s="15">
        <f>Bike_Sales[[#This Row],[Order_Quantity]]*Bike_Sales[[#This Row],[Unit_Price]]</f>
        <v>4400</v>
      </c>
      <c r="P635" s="15">
        <f>Bike_Sales[[#This Row],[Order_Quantity]]*Bike_Sales[[#This Row],[Unit_Cost]]</f>
        <v>2800</v>
      </c>
      <c r="Q635" s="15">
        <f>Bike_Sales[[#This Row],[Total Sales]]-Bike_Sales[[#This Row],[Total Cost]]</f>
        <v>1600</v>
      </c>
      <c r="R635" s="17">
        <f>Bike_Sales[[#This Row],[Profit]]/Bike_Sales[[#This Row],[Total Sales]]</f>
        <v>0.36363636363636365</v>
      </c>
      <c r="S635" s="16" t="str">
        <f t="shared" si="9"/>
        <v>45-54</v>
      </c>
    </row>
    <row r="636" spans="1:19" x14ac:dyDescent="0.35">
      <c r="A636" s="2">
        <v>44559</v>
      </c>
      <c r="B636" s="2" t="str">
        <f>TEXT(Bike_Sales[[#This Row],[Date]],"mmmm")</f>
        <v>December</v>
      </c>
      <c r="C636" s="19">
        <f>MONTH(Bike_Sales[[#This Row],[Date]])</f>
        <v>12</v>
      </c>
      <c r="D636" s="2" t="str">
        <f>TEXT(Bike_Sales[[#This Row],[Date]],"dddd")</f>
        <v>Wednesday</v>
      </c>
      <c r="E636" s="3">
        <v>45</v>
      </c>
      <c r="F636" s="3" t="s">
        <v>135</v>
      </c>
      <c r="G636" s="3" t="s">
        <v>9</v>
      </c>
      <c r="H636" s="3" t="s">
        <v>10</v>
      </c>
      <c r="I636" s="3" t="s">
        <v>11</v>
      </c>
      <c r="J636" s="3" t="s">
        <v>101</v>
      </c>
      <c r="K636" s="3" t="s">
        <v>44</v>
      </c>
      <c r="L636" s="4">
        <v>1</v>
      </c>
      <c r="M636" s="3">
        <v>700</v>
      </c>
      <c r="N636" s="3">
        <v>1100</v>
      </c>
      <c r="O636" s="15">
        <f>Bike_Sales[[#This Row],[Order_Quantity]]*Bike_Sales[[#This Row],[Unit_Price]]</f>
        <v>1100</v>
      </c>
      <c r="P636" s="15">
        <f>Bike_Sales[[#This Row],[Order_Quantity]]*Bike_Sales[[#This Row],[Unit_Cost]]</f>
        <v>700</v>
      </c>
      <c r="Q636" s="15">
        <f>Bike_Sales[[#This Row],[Total Sales]]-Bike_Sales[[#This Row],[Total Cost]]</f>
        <v>400</v>
      </c>
      <c r="R636" s="17">
        <f>Bike_Sales[[#This Row],[Profit]]/Bike_Sales[[#This Row],[Total Sales]]</f>
        <v>0.36363636363636365</v>
      </c>
      <c r="S636" s="16" t="str">
        <f t="shared" si="9"/>
        <v>45-54</v>
      </c>
    </row>
    <row r="637" spans="1:19" x14ac:dyDescent="0.35">
      <c r="A637" s="2">
        <v>44471</v>
      </c>
      <c r="B637" s="2" t="str">
        <f>TEXT(Bike_Sales[[#This Row],[Date]],"mmmm")</f>
        <v>October</v>
      </c>
      <c r="C637" s="19">
        <f>MONTH(Bike_Sales[[#This Row],[Date]])</f>
        <v>10</v>
      </c>
      <c r="D637" s="2" t="str">
        <f>TEXT(Bike_Sales[[#This Row],[Date]],"dddd")</f>
        <v>Saturday</v>
      </c>
      <c r="E637" s="3">
        <v>46</v>
      </c>
      <c r="F637" s="3" t="s">
        <v>126</v>
      </c>
      <c r="G637" s="3" t="s">
        <v>9</v>
      </c>
      <c r="H637" s="3" t="s">
        <v>10</v>
      </c>
      <c r="I637" s="3" t="s">
        <v>11</v>
      </c>
      <c r="J637" s="3" t="s">
        <v>102</v>
      </c>
      <c r="K637" s="3" t="s">
        <v>29</v>
      </c>
      <c r="L637" s="4">
        <v>1</v>
      </c>
      <c r="M637" s="3">
        <v>900</v>
      </c>
      <c r="N637" s="3">
        <v>1400</v>
      </c>
      <c r="O637" s="15">
        <f>Bike_Sales[[#This Row],[Order_Quantity]]*Bike_Sales[[#This Row],[Unit_Price]]</f>
        <v>1400</v>
      </c>
      <c r="P637" s="15">
        <f>Bike_Sales[[#This Row],[Order_Quantity]]*Bike_Sales[[#This Row],[Unit_Cost]]</f>
        <v>900</v>
      </c>
      <c r="Q637" s="15">
        <f>Bike_Sales[[#This Row],[Total Sales]]-Bike_Sales[[#This Row],[Total Cost]]</f>
        <v>500</v>
      </c>
      <c r="R637" s="17">
        <f>Bike_Sales[[#This Row],[Profit]]/Bike_Sales[[#This Row],[Total Sales]]</f>
        <v>0.35714285714285715</v>
      </c>
      <c r="S637" s="16" t="str">
        <f t="shared" si="9"/>
        <v>45-54</v>
      </c>
    </row>
    <row r="638" spans="1:19" x14ac:dyDescent="0.35">
      <c r="A638" s="2">
        <v>44472</v>
      </c>
      <c r="B638" s="2" t="str">
        <f>TEXT(Bike_Sales[[#This Row],[Date]],"mmmm")</f>
        <v>October</v>
      </c>
      <c r="C638" s="19">
        <f>MONTH(Bike_Sales[[#This Row],[Date]])</f>
        <v>10</v>
      </c>
      <c r="D638" s="2" t="str">
        <f>TEXT(Bike_Sales[[#This Row],[Date]],"dddd")</f>
        <v>Sunday</v>
      </c>
      <c r="E638" s="3">
        <v>46</v>
      </c>
      <c r="F638" s="3" t="s">
        <v>126</v>
      </c>
      <c r="G638" s="3" t="s">
        <v>18</v>
      </c>
      <c r="H638" s="3" t="s">
        <v>24</v>
      </c>
      <c r="I638" s="3" t="s">
        <v>11</v>
      </c>
      <c r="J638" s="3" t="s">
        <v>101</v>
      </c>
      <c r="K638" s="3" t="s">
        <v>32</v>
      </c>
      <c r="L638" s="4">
        <v>4</v>
      </c>
      <c r="M638" s="3">
        <v>700</v>
      </c>
      <c r="N638" s="3">
        <v>1100</v>
      </c>
      <c r="O638" s="15">
        <f>Bike_Sales[[#This Row],[Order_Quantity]]*Bike_Sales[[#This Row],[Unit_Price]]</f>
        <v>4400</v>
      </c>
      <c r="P638" s="15">
        <f>Bike_Sales[[#This Row],[Order_Quantity]]*Bike_Sales[[#This Row],[Unit_Cost]]</f>
        <v>2800</v>
      </c>
      <c r="Q638" s="15">
        <f>Bike_Sales[[#This Row],[Total Sales]]-Bike_Sales[[#This Row],[Total Cost]]</f>
        <v>1600</v>
      </c>
      <c r="R638" s="17">
        <f>Bike_Sales[[#This Row],[Profit]]/Bike_Sales[[#This Row],[Total Sales]]</f>
        <v>0.36363636363636365</v>
      </c>
      <c r="S638" s="16" t="str">
        <f t="shared" si="9"/>
        <v>45-54</v>
      </c>
    </row>
    <row r="639" spans="1:19" x14ac:dyDescent="0.35">
      <c r="A639" s="2">
        <v>44476</v>
      </c>
      <c r="B639" s="2" t="str">
        <f>TEXT(Bike_Sales[[#This Row],[Date]],"mmmm")</f>
        <v>October</v>
      </c>
      <c r="C639" s="19">
        <f>MONTH(Bike_Sales[[#This Row],[Date]])</f>
        <v>10</v>
      </c>
      <c r="D639" s="2" t="str">
        <f>TEXT(Bike_Sales[[#This Row],[Date]],"dddd")</f>
        <v>Thursday</v>
      </c>
      <c r="E639" s="3">
        <v>46</v>
      </c>
      <c r="F639" s="3" t="s">
        <v>135</v>
      </c>
      <c r="G639" s="3" t="s">
        <v>9</v>
      </c>
      <c r="H639" s="3" t="s">
        <v>10</v>
      </c>
      <c r="I639" s="3" t="s">
        <v>11</v>
      </c>
      <c r="J639" s="3" t="s">
        <v>104</v>
      </c>
      <c r="K639" s="3" t="s">
        <v>52</v>
      </c>
      <c r="L639" s="4">
        <v>2</v>
      </c>
      <c r="M639" s="3">
        <v>530</v>
      </c>
      <c r="N639" s="3">
        <v>840</v>
      </c>
      <c r="O639" s="15">
        <f>Bike_Sales[[#This Row],[Order_Quantity]]*Bike_Sales[[#This Row],[Unit_Price]]</f>
        <v>1680</v>
      </c>
      <c r="P639" s="15">
        <f>Bike_Sales[[#This Row],[Order_Quantity]]*Bike_Sales[[#This Row],[Unit_Cost]]</f>
        <v>1060</v>
      </c>
      <c r="Q639" s="15">
        <f>Bike_Sales[[#This Row],[Total Sales]]-Bike_Sales[[#This Row],[Total Cost]]</f>
        <v>620</v>
      </c>
      <c r="R639" s="17">
        <f>Bike_Sales[[#This Row],[Profit]]/Bike_Sales[[#This Row],[Total Sales]]</f>
        <v>0.36904761904761907</v>
      </c>
      <c r="S639" s="16" t="str">
        <f t="shared" si="9"/>
        <v>45-54</v>
      </c>
    </row>
    <row r="640" spans="1:19" x14ac:dyDescent="0.35">
      <c r="A640" s="2">
        <v>44476</v>
      </c>
      <c r="B640" s="2" t="str">
        <f>TEXT(Bike_Sales[[#This Row],[Date]],"mmmm")</f>
        <v>October</v>
      </c>
      <c r="C640" s="19">
        <f>MONTH(Bike_Sales[[#This Row],[Date]])</f>
        <v>10</v>
      </c>
      <c r="D640" s="2" t="str">
        <f>TEXT(Bike_Sales[[#This Row],[Date]],"dddd")</f>
        <v>Thursday</v>
      </c>
      <c r="E640" s="3">
        <v>46</v>
      </c>
      <c r="F640" s="3" t="s">
        <v>126</v>
      </c>
      <c r="G640" s="3" t="s">
        <v>9</v>
      </c>
      <c r="H640" s="3" t="s">
        <v>10</v>
      </c>
      <c r="I640" s="3" t="s">
        <v>11</v>
      </c>
      <c r="J640" s="3" t="s">
        <v>102</v>
      </c>
      <c r="K640" s="3" t="s">
        <v>29</v>
      </c>
      <c r="L640" s="4">
        <v>1</v>
      </c>
      <c r="M640" s="3">
        <v>900</v>
      </c>
      <c r="N640" s="3">
        <v>1400</v>
      </c>
      <c r="O640" s="15">
        <f>Bike_Sales[[#This Row],[Order_Quantity]]*Bike_Sales[[#This Row],[Unit_Price]]</f>
        <v>1400</v>
      </c>
      <c r="P640" s="15">
        <f>Bike_Sales[[#This Row],[Order_Quantity]]*Bike_Sales[[#This Row],[Unit_Cost]]</f>
        <v>900</v>
      </c>
      <c r="Q640" s="15">
        <f>Bike_Sales[[#This Row],[Total Sales]]-Bike_Sales[[#This Row],[Total Cost]]</f>
        <v>500</v>
      </c>
      <c r="R640" s="17">
        <f>Bike_Sales[[#This Row],[Profit]]/Bike_Sales[[#This Row],[Total Sales]]</f>
        <v>0.35714285714285715</v>
      </c>
      <c r="S640" s="16" t="str">
        <f t="shared" si="9"/>
        <v>45-54</v>
      </c>
    </row>
    <row r="641" spans="1:19" x14ac:dyDescent="0.35">
      <c r="A641" s="2">
        <v>44478</v>
      </c>
      <c r="B641" s="2" t="str">
        <f>TEXT(Bike_Sales[[#This Row],[Date]],"mmmm")</f>
        <v>October</v>
      </c>
      <c r="C641" s="19">
        <f>MONTH(Bike_Sales[[#This Row],[Date]])</f>
        <v>10</v>
      </c>
      <c r="D641" s="2" t="str">
        <f>TEXT(Bike_Sales[[#This Row],[Date]],"dddd")</f>
        <v>Saturday</v>
      </c>
      <c r="E641" s="3">
        <v>46</v>
      </c>
      <c r="F641" s="3" t="s">
        <v>126</v>
      </c>
      <c r="G641" s="3" t="s">
        <v>39</v>
      </c>
      <c r="H641" s="3" t="s">
        <v>131</v>
      </c>
      <c r="I641" s="3" t="s">
        <v>16</v>
      </c>
      <c r="J641" s="3" t="s">
        <v>103</v>
      </c>
      <c r="K641" s="3" t="s">
        <v>50</v>
      </c>
      <c r="L641" s="4">
        <v>2</v>
      </c>
      <c r="M641" s="3">
        <v>550</v>
      </c>
      <c r="N641" s="3">
        <v>850</v>
      </c>
      <c r="O641" s="15">
        <f>Bike_Sales[[#This Row],[Order_Quantity]]*Bike_Sales[[#This Row],[Unit_Price]]</f>
        <v>1700</v>
      </c>
      <c r="P641" s="15">
        <f>Bike_Sales[[#This Row],[Order_Quantity]]*Bike_Sales[[#This Row],[Unit_Cost]]</f>
        <v>1100</v>
      </c>
      <c r="Q641" s="15">
        <f>Bike_Sales[[#This Row],[Total Sales]]-Bike_Sales[[#This Row],[Total Cost]]</f>
        <v>600</v>
      </c>
      <c r="R641" s="17">
        <f>Bike_Sales[[#This Row],[Profit]]/Bike_Sales[[#This Row],[Total Sales]]</f>
        <v>0.35294117647058826</v>
      </c>
      <c r="S641" s="16" t="str">
        <f t="shared" si="9"/>
        <v>45-54</v>
      </c>
    </row>
    <row r="642" spans="1:19" x14ac:dyDescent="0.35">
      <c r="A642" s="2">
        <v>44485</v>
      </c>
      <c r="B642" s="2" t="str">
        <f>TEXT(Bike_Sales[[#This Row],[Date]],"mmmm")</f>
        <v>October</v>
      </c>
      <c r="C642" s="19">
        <f>MONTH(Bike_Sales[[#This Row],[Date]])</f>
        <v>10</v>
      </c>
      <c r="D642" s="2" t="str">
        <f>TEXT(Bike_Sales[[#This Row],[Date]],"dddd")</f>
        <v>Saturday</v>
      </c>
      <c r="E642" s="3">
        <v>46</v>
      </c>
      <c r="F642" s="3" t="s">
        <v>135</v>
      </c>
      <c r="G642" s="3" t="s">
        <v>39</v>
      </c>
      <c r="H642" s="3" t="s">
        <v>134</v>
      </c>
      <c r="I642" s="3" t="s">
        <v>16</v>
      </c>
      <c r="J642" s="3" t="s">
        <v>101</v>
      </c>
      <c r="K642" s="3" t="s">
        <v>49</v>
      </c>
      <c r="L642" s="4">
        <v>4</v>
      </c>
      <c r="M642" s="3">
        <v>550</v>
      </c>
      <c r="N642" s="3">
        <v>850</v>
      </c>
      <c r="O642" s="15">
        <f>Bike_Sales[[#This Row],[Order_Quantity]]*Bike_Sales[[#This Row],[Unit_Price]]</f>
        <v>3400</v>
      </c>
      <c r="P642" s="15">
        <f>Bike_Sales[[#This Row],[Order_Quantity]]*Bike_Sales[[#This Row],[Unit_Cost]]</f>
        <v>2200</v>
      </c>
      <c r="Q642" s="15">
        <f>Bike_Sales[[#This Row],[Total Sales]]-Bike_Sales[[#This Row],[Total Cost]]</f>
        <v>1200</v>
      </c>
      <c r="R642" s="17">
        <f>Bike_Sales[[#This Row],[Profit]]/Bike_Sales[[#This Row],[Total Sales]]</f>
        <v>0.35294117647058826</v>
      </c>
      <c r="S642" s="16" t="str">
        <f t="shared" ref="S642:S705" si="10">IF(E642&lt;25,"Under 25",IF(E642&lt;35,"25-34",IF(E642&lt;45,"35-44",IF(E642&lt;55,"45-54","55+"))))</f>
        <v>45-54</v>
      </c>
    </row>
    <row r="643" spans="1:19" x14ac:dyDescent="0.35">
      <c r="A643" s="2">
        <v>44485</v>
      </c>
      <c r="B643" s="2" t="str">
        <f>TEXT(Bike_Sales[[#This Row],[Date]],"mmmm")</f>
        <v>October</v>
      </c>
      <c r="C643" s="19">
        <f>MONTH(Bike_Sales[[#This Row],[Date]])</f>
        <v>10</v>
      </c>
      <c r="D643" s="2" t="str">
        <f>TEXT(Bike_Sales[[#This Row],[Date]],"dddd")</f>
        <v>Saturday</v>
      </c>
      <c r="E643" s="3">
        <v>46</v>
      </c>
      <c r="F643" s="3" t="s">
        <v>135</v>
      </c>
      <c r="G643" s="3" t="s">
        <v>33</v>
      </c>
      <c r="H643" s="3" t="s">
        <v>56</v>
      </c>
      <c r="I643" s="3" t="s">
        <v>11</v>
      </c>
      <c r="J643" s="3" t="s">
        <v>102</v>
      </c>
      <c r="K643" s="3" t="s">
        <v>23</v>
      </c>
      <c r="L643" s="4">
        <v>1</v>
      </c>
      <c r="M643" s="3">
        <v>620</v>
      </c>
      <c r="N643" s="3">
        <v>980</v>
      </c>
      <c r="O643" s="15">
        <f>Bike_Sales[[#This Row],[Order_Quantity]]*Bike_Sales[[#This Row],[Unit_Price]]</f>
        <v>980</v>
      </c>
      <c r="P643" s="15">
        <f>Bike_Sales[[#This Row],[Order_Quantity]]*Bike_Sales[[#This Row],[Unit_Cost]]</f>
        <v>620</v>
      </c>
      <c r="Q643" s="15">
        <f>Bike_Sales[[#This Row],[Total Sales]]-Bike_Sales[[#This Row],[Total Cost]]</f>
        <v>360</v>
      </c>
      <c r="R643" s="17">
        <f>Bike_Sales[[#This Row],[Profit]]/Bike_Sales[[#This Row],[Total Sales]]</f>
        <v>0.36734693877551022</v>
      </c>
      <c r="S643" s="16" t="str">
        <f t="shared" si="10"/>
        <v>45-54</v>
      </c>
    </row>
    <row r="644" spans="1:19" x14ac:dyDescent="0.35">
      <c r="A644" s="2">
        <v>44486</v>
      </c>
      <c r="B644" s="2" t="str">
        <f>TEXT(Bike_Sales[[#This Row],[Date]],"mmmm")</f>
        <v>October</v>
      </c>
      <c r="C644" s="19">
        <f>MONTH(Bike_Sales[[#This Row],[Date]])</f>
        <v>10</v>
      </c>
      <c r="D644" s="2" t="str">
        <f>TEXT(Bike_Sales[[#This Row],[Date]],"dddd")</f>
        <v>Sunday</v>
      </c>
      <c r="E644" s="3">
        <v>46</v>
      </c>
      <c r="F644" s="3" t="s">
        <v>135</v>
      </c>
      <c r="G644" s="3" t="s">
        <v>9</v>
      </c>
      <c r="H644" s="3" t="s">
        <v>10</v>
      </c>
      <c r="I644" s="3" t="s">
        <v>11</v>
      </c>
      <c r="J644" s="3" t="s">
        <v>104</v>
      </c>
      <c r="K644" s="3" t="s">
        <v>52</v>
      </c>
      <c r="L644" s="4">
        <v>1</v>
      </c>
      <c r="M644" s="3">
        <v>530</v>
      </c>
      <c r="N644" s="3">
        <v>840</v>
      </c>
      <c r="O644" s="15">
        <f>Bike_Sales[[#This Row],[Order_Quantity]]*Bike_Sales[[#This Row],[Unit_Price]]</f>
        <v>840</v>
      </c>
      <c r="P644" s="15">
        <f>Bike_Sales[[#This Row],[Order_Quantity]]*Bike_Sales[[#This Row],[Unit_Cost]]</f>
        <v>530</v>
      </c>
      <c r="Q644" s="15">
        <f>Bike_Sales[[#This Row],[Total Sales]]-Bike_Sales[[#This Row],[Total Cost]]</f>
        <v>310</v>
      </c>
      <c r="R644" s="17">
        <f>Bike_Sales[[#This Row],[Profit]]/Bike_Sales[[#This Row],[Total Sales]]</f>
        <v>0.36904761904761907</v>
      </c>
      <c r="S644" s="16" t="str">
        <f t="shared" si="10"/>
        <v>45-54</v>
      </c>
    </row>
    <row r="645" spans="1:19" x14ac:dyDescent="0.35">
      <c r="A645" s="2">
        <v>44487</v>
      </c>
      <c r="B645" s="2" t="str">
        <f>TEXT(Bike_Sales[[#This Row],[Date]],"mmmm")</f>
        <v>October</v>
      </c>
      <c r="C645" s="19">
        <f>MONTH(Bike_Sales[[#This Row],[Date]])</f>
        <v>10</v>
      </c>
      <c r="D645" s="2" t="str">
        <f>TEXT(Bike_Sales[[#This Row],[Date]],"dddd")</f>
        <v>Monday</v>
      </c>
      <c r="E645" s="3">
        <v>46</v>
      </c>
      <c r="F645" s="3" t="s">
        <v>135</v>
      </c>
      <c r="G645" s="3" t="s">
        <v>9</v>
      </c>
      <c r="H645" s="3" t="s">
        <v>10</v>
      </c>
      <c r="I645" s="3" t="s">
        <v>11</v>
      </c>
      <c r="J645" s="3" t="s">
        <v>104</v>
      </c>
      <c r="K645" s="3" t="s">
        <v>52</v>
      </c>
      <c r="L645" s="4">
        <v>1</v>
      </c>
      <c r="M645" s="3">
        <v>530</v>
      </c>
      <c r="N645" s="3">
        <v>840</v>
      </c>
      <c r="O645" s="15">
        <f>Bike_Sales[[#This Row],[Order_Quantity]]*Bike_Sales[[#This Row],[Unit_Price]]</f>
        <v>840</v>
      </c>
      <c r="P645" s="15">
        <f>Bike_Sales[[#This Row],[Order_Quantity]]*Bike_Sales[[#This Row],[Unit_Cost]]</f>
        <v>530</v>
      </c>
      <c r="Q645" s="15">
        <f>Bike_Sales[[#This Row],[Total Sales]]-Bike_Sales[[#This Row],[Total Cost]]</f>
        <v>310</v>
      </c>
      <c r="R645" s="17">
        <f>Bike_Sales[[#This Row],[Profit]]/Bike_Sales[[#This Row],[Total Sales]]</f>
        <v>0.36904761904761907</v>
      </c>
      <c r="S645" s="16" t="str">
        <f t="shared" si="10"/>
        <v>45-54</v>
      </c>
    </row>
    <row r="646" spans="1:19" x14ac:dyDescent="0.35">
      <c r="A646" s="2">
        <v>44488</v>
      </c>
      <c r="B646" s="2" t="str">
        <f>TEXT(Bike_Sales[[#This Row],[Date]],"mmmm")</f>
        <v>October</v>
      </c>
      <c r="C646" s="19">
        <f>MONTH(Bike_Sales[[#This Row],[Date]])</f>
        <v>10</v>
      </c>
      <c r="D646" s="2" t="str">
        <f>TEXT(Bike_Sales[[#This Row],[Date]],"dddd")</f>
        <v>Tuesday</v>
      </c>
      <c r="E646" s="3">
        <v>46</v>
      </c>
      <c r="F646" s="3" t="s">
        <v>126</v>
      </c>
      <c r="G646" s="3" t="s">
        <v>129</v>
      </c>
      <c r="H646" s="3" t="s">
        <v>15</v>
      </c>
      <c r="I646" s="3" t="s">
        <v>11</v>
      </c>
      <c r="J646" s="3" t="s">
        <v>101</v>
      </c>
      <c r="K646" s="3" t="s">
        <v>60</v>
      </c>
      <c r="L646" s="4">
        <v>4</v>
      </c>
      <c r="M646" s="3">
        <v>700</v>
      </c>
      <c r="N646" s="3">
        <v>1100</v>
      </c>
      <c r="O646" s="15">
        <f>Bike_Sales[[#This Row],[Order_Quantity]]*Bike_Sales[[#This Row],[Unit_Price]]</f>
        <v>4400</v>
      </c>
      <c r="P646" s="15">
        <f>Bike_Sales[[#This Row],[Order_Quantity]]*Bike_Sales[[#This Row],[Unit_Cost]]</f>
        <v>2800</v>
      </c>
      <c r="Q646" s="15">
        <f>Bike_Sales[[#This Row],[Total Sales]]-Bike_Sales[[#This Row],[Total Cost]]</f>
        <v>1600</v>
      </c>
      <c r="R646" s="17">
        <f>Bike_Sales[[#This Row],[Profit]]/Bike_Sales[[#This Row],[Total Sales]]</f>
        <v>0.36363636363636365</v>
      </c>
      <c r="S646" s="16" t="str">
        <f t="shared" si="10"/>
        <v>45-54</v>
      </c>
    </row>
    <row r="647" spans="1:19" x14ac:dyDescent="0.35">
      <c r="A647" s="2">
        <v>44495</v>
      </c>
      <c r="B647" s="2" t="str">
        <f>TEXT(Bike_Sales[[#This Row],[Date]],"mmmm")</f>
        <v>October</v>
      </c>
      <c r="C647" s="19">
        <f>MONTH(Bike_Sales[[#This Row],[Date]])</f>
        <v>10</v>
      </c>
      <c r="D647" s="2" t="str">
        <f>TEXT(Bike_Sales[[#This Row],[Date]],"dddd")</f>
        <v>Tuesday</v>
      </c>
      <c r="E647" s="3">
        <v>46</v>
      </c>
      <c r="F647" s="3" t="s">
        <v>135</v>
      </c>
      <c r="G647" s="3" t="s">
        <v>18</v>
      </c>
      <c r="H647" s="3" t="s">
        <v>35</v>
      </c>
      <c r="I647" s="3" t="s">
        <v>11</v>
      </c>
      <c r="J647" s="3" t="s">
        <v>101</v>
      </c>
      <c r="K647" s="3" t="s">
        <v>32</v>
      </c>
      <c r="L647" s="4">
        <v>1</v>
      </c>
      <c r="M647" s="3">
        <v>700</v>
      </c>
      <c r="N647" s="3">
        <v>1100</v>
      </c>
      <c r="O647" s="15">
        <f>Bike_Sales[[#This Row],[Order_Quantity]]*Bike_Sales[[#This Row],[Unit_Price]]</f>
        <v>1100</v>
      </c>
      <c r="P647" s="15">
        <f>Bike_Sales[[#This Row],[Order_Quantity]]*Bike_Sales[[#This Row],[Unit_Cost]]</f>
        <v>700</v>
      </c>
      <c r="Q647" s="15">
        <f>Bike_Sales[[#This Row],[Total Sales]]-Bike_Sales[[#This Row],[Total Cost]]</f>
        <v>400</v>
      </c>
      <c r="R647" s="17">
        <f>Bike_Sales[[#This Row],[Profit]]/Bike_Sales[[#This Row],[Total Sales]]</f>
        <v>0.36363636363636365</v>
      </c>
      <c r="S647" s="16" t="str">
        <f t="shared" si="10"/>
        <v>45-54</v>
      </c>
    </row>
    <row r="648" spans="1:19" x14ac:dyDescent="0.35">
      <c r="A648" s="2">
        <v>44508</v>
      </c>
      <c r="B648" s="2" t="str">
        <f>TEXT(Bike_Sales[[#This Row],[Date]],"mmmm")</f>
        <v>November</v>
      </c>
      <c r="C648" s="19">
        <f>MONTH(Bike_Sales[[#This Row],[Date]])</f>
        <v>11</v>
      </c>
      <c r="D648" s="2" t="str">
        <f>TEXT(Bike_Sales[[#This Row],[Date]],"dddd")</f>
        <v>Monday</v>
      </c>
      <c r="E648" s="3">
        <v>46</v>
      </c>
      <c r="F648" s="3" t="s">
        <v>126</v>
      </c>
      <c r="G648" s="3" t="s">
        <v>9</v>
      </c>
      <c r="H648" s="3" t="s">
        <v>37</v>
      </c>
      <c r="I648" s="3" t="s">
        <v>16</v>
      </c>
      <c r="J648" s="3" t="s">
        <v>101</v>
      </c>
      <c r="K648" s="3" t="s">
        <v>25</v>
      </c>
      <c r="L648" s="4">
        <v>1</v>
      </c>
      <c r="M648" s="3">
        <v>550</v>
      </c>
      <c r="N648" s="3">
        <v>850</v>
      </c>
      <c r="O648" s="15">
        <f>Bike_Sales[[#This Row],[Order_Quantity]]*Bike_Sales[[#This Row],[Unit_Price]]</f>
        <v>850</v>
      </c>
      <c r="P648" s="15">
        <f>Bike_Sales[[#This Row],[Order_Quantity]]*Bike_Sales[[#This Row],[Unit_Cost]]</f>
        <v>550</v>
      </c>
      <c r="Q648" s="15">
        <f>Bike_Sales[[#This Row],[Total Sales]]-Bike_Sales[[#This Row],[Total Cost]]</f>
        <v>300</v>
      </c>
      <c r="R648" s="17">
        <f>Bike_Sales[[#This Row],[Profit]]/Bike_Sales[[#This Row],[Total Sales]]</f>
        <v>0.35294117647058826</v>
      </c>
      <c r="S648" s="16" t="str">
        <f t="shared" si="10"/>
        <v>45-54</v>
      </c>
    </row>
    <row r="649" spans="1:19" x14ac:dyDescent="0.35">
      <c r="A649" s="2">
        <v>44524</v>
      </c>
      <c r="B649" s="2" t="str">
        <f>TEXT(Bike_Sales[[#This Row],[Date]],"mmmm")</f>
        <v>November</v>
      </c>
      <c r="C649" s="19">
        <f>MONTH(Bike_Sales[[#This Row],[Date]])</f>
        <v>11</v>
      </c>
      <c r="D649" s="2" t="str">
        <f>TEXT(Bike_Sales[[#This Row],[Date]],"dddd")</f>
        <v>Wednesday</v>
      </c>
      <c r="E649" s="3">
        <v>46</v>
      </c>
      <c r="F649" s="3" t="s">
        <v>135</v>
      </c>
      <c r="G649" s="3" t="s">
        <v>129</v>
      </c>
      <c r="H649" s="3" t="s">
        <v>15</v>
      </c>
      <c r="I649" s="3" t="s">
        <v>11</v>
      </c>
      <c r="J649" s="3" t="s">
        <v>101</v>
      </c>
      <c r="K649" s="3" t="s">
        <v>41</v>
      </c>
      <c r="L649" s="4">
        <v>1</v>
      </c>
      <c r="M649" s="3">
        <v>580</v>
      </c>
      <c r="N649" s="3">
        <v>920</v>
      </c>
      <c r="O649" s="15">
        <f>Bike_Sales[[#This Row],[Order_Quantity]]*Bike_Sales[[#This Row],[Unit_Price]]</f>
        <v>920</v>
      </c>
      <c r="P649" s="15">
        <f>Bike_Sales[[#This Row],[Order_Quantity]]*Bike_Sales[[#This Row],[Unit_Cost]]</f>
        <v>580</v>
      </c>
      <c r="Q649" s="15">
        <f>Bike_Sales[[#This Row],[Total Sales]]-Bike_Sales[[#This Row],[Total Cost]]</f>
        <v>340</v>
      </c>
      <c r="R649" s="17">
        <f>Bike_Sales[[#This Row],[Profit]]/Bike_Sales[[#This Row],[Total Sales]]</f>
        <v>0.36956521739130432</v>
      </c>
      <c r="S649" s="16" t="str">
        <f t="shared" si="10"/>
        <v>45-54</v>
      </c>
    </row>
    <row r="650" spans="1:19" x14ac:dyDescent="0.35">
      <c r="A650" s="2">
        <v>44525</v>
      </c>
      <c r="B650" s="2" t="str">
        <f>TEXT(Bike_Sales[[#This Row],[Date]],"mmmm")</f>
        <v>November</v>
      </c>
      <c r="C650" s="19">
        <f>MONTH(Bike_Sales[[#This Row],[Date]])</f>
        <v>11</v>
      </c>
      <c r="D650" s="2" t="str">
        <f>TEXT(Bike_Sales[[#This Row],[Date]],"dddd")</f>
        <v>Thursday</v>
      </c>
      <c r="E650" s="3">
        <v>46</v>
      </c>
      <c r="F650" s="3" t="s">
        <v>135</v>
      </c>
      <c r="G650" s="3" t="s">
        <v>9</v>
      </c>
      <c r="H650" s="3" t="s">
        <v>37</v>
      </c>
      <c r="I650" s="3" t="s">
        <v>16</v>
      </c>
      <c r="J650" s="3" t="s">
        <v>103</v>
      </c>
      <c r="K650" s="3" t="s">
        <v>50</v>
      </c>
      <c r="L650" s="4">
        <v>1</v>
      </c>
      <c r="M650" s="3">
        <v>550</v>
      </c>
      <c r="N650" s="3">
        <v>850</v>
      </c>
      <c r="O650" s="15">
        <f>Bike_Sales[[#This Row],[Order_Quantity]]*Bike_Sales[[#This Row],[Unit_Price]]</f>
        <v>850</v>
      </c>
      <c r="P650" s="15">
        <f>Bike_Sales[[#This Row],[Order_Quantity]]*Bike_Sales[[#This Row],[Unit_Cost]]</f>
        <v>550</v>
      </c>
      <c r="Q650" s="15">
        <f>Bike_Sales[[#This Row],[Total Sales]]-Bike_Sales[[#This Row],[Total Cost]]</f>
        <v>300</v>
      </c>
      <c r="R650" s="17">
        <f>Bike_Sales[[#This Row],[Profit]]/Bike_Sales[[#This Row],[Total Sales]]</f>
        <v>0.35294117647058826</v>
      </c>
      <c r="S650" s="16" t="str">
        <f t="shared" si="10"/>
        <v>45-54</v>
      </c>
    </row>
    <row r="651" spans="1:19" x14ac:dyDescent="0.35">
      <c r="A651" s="2">
        <v>44530</v>
      </c>
      <c r="B651" s="2" t="str">
        <f>TEXT(Bike_Sales[[#This Row],[Date]],"mmmm")</f>
        <v>November</v>
      </c>
      <c r="C651" s="19">
        <f>MONTH(Bike_Sales[[#This Row],[Date]])</f>
        <v>11</v>
      </c>
      <c r="D651" s="2" t="str">
        <f>TEXT(Bike_Sales[[#This Row],[Date]],"dddd")</f>
        <v>Tuesday</v>
      </c>
      <c r="E651" s="3">
        <v>46</v>
      </c>
      <c r="F651" s="3" t="s">
        <v>126</v>
      </c>
      <c r="G651" s="3" t="s">
        <v>129</v>
      </c>
      <c r="H651" s="3" t="s">
        <v>15</v>
      </c>
      <c r="I651" s="3" t="s">
        <v>16</v>
      </c>
      <c r="J651" s="3" t="s">
        <v>103</v>
      </c>
      <c r="K651" s="3" t="s">
        <v>50</v>
      </c>
      <c r="L651" s="4">
        <v>1</v>
      </c>
      <c r="M651" s="3">
        <v>550</v>
      </c>
      <c r="N651" s="3">
        <v>850</v>
      </c>
      <c r="O651" s="15">
        <f>Bike_Sales[[#This Row],[Order_Quantity]]*Bike_Sales[[#This Row],[Unit_Price]]</f>
        <v>850</v>
      </c>
      <c r="P651" s="15">
        <f>Bike_Sales[[#This Row],[Order_Quantity]]*Bike_Sales[[#This Row],[Unit_Cost]]</f>
        <v>550</v>
      </c>
      <c r="Q651" s="15">
        <f>Bike_Sales[[#This Row],[Total Sales]]-Bike_Sales[[#This Row],[Total Cost]]</f>
        <v>300</v>
      </c>
      <c r="R651" s="17">
        <f>Bike_Sales[[#This Row],[Profit]]/Bike_Sales[[#This Row],[Total Sales]]</f>
        <v>0.35294117647058826</v>
      </c>
      <c r="S651" s="16" t="str">
        <f t="shared" si="10"/>
        <v>45-54</v>
      </c>
    </row>
    <row r="652" spans="1:19" x14ac:dyDescent="0.35">
      <c r="A652" s="2">
        <v>44542</v>
      </c>
      <c r="B652" s="2" t="str">
        <f>TEXT(Bike_Sales[[#This Row],[Date]],"mmmm")</f>
        <v>December</v>
      </c>
      <c r="C652" s="19">
        <f>MONTH(Bike_Sales[[#This Row],[Date]])</f>
        <v>12</v>
      </c>
      <c r="D652" s="2" t="str">
        <f>TEXT(Bike_Sales[[#This Row],[Date]],"dddd")</f>
        <v>Sunday</v>
      </c>
      <c r="E652" s="3">
        <v>46</v>
      </c>
      <c r="F652" s="3" t="s">
        <v>135</v>
      </c>
      <c r="G652" s="3" t="s">
        <v>18</v>
      </c>
      <c r="H652" s="3" t="s">
        <v>24</v>
      </c>
      <c r="I652" s="3" t="s">
        <v>11</v>
      </c>
      <c r="J652" s="3" t="s">
        <v>101</v>
      </c>
      <c r="K652" s="3" t="s">
        <v>32</v>
      </c>
      <c r="L652" s="4">
        <v>1</v>
      </c>
      <c r="M652" s="3">
        <v>700</v>
      </c>
      <c r="N652" s="3">
        <v>1100</v>
      </c>
      <c r="O652" s="15">
        <f>Bike_Sales[[#This Row],[Order_Quantity]]*Bike_Sales[[#This Row],[Unit_Price]]</f>
        <v>1100</v>
      </c>
      <c r="P652" s="15">
        <f>Bike_Sales[[#This Row],[Order_Quantity]]*Bike_Sales[[#This Row],[Unit_Cost]]</f>
        <v>700</v>
      </c>
      <c r="Q652" s="15">
        <f>Bike_Sales[[#This Row],[Total Sales]]-Bike_Sales[[#This Row],[Total Cost]]</f>
        <v>400</v>
      </c>
      <c r="R652" s="17">
        <f>Bike_Sales[[#This Row],[Profit]]/Bike_Sales[[#This Row],[Total Sales]]</f>
        <v>0.36363636363636365</v>
      </c>
      <c r="S652" s="16" t="str">
        <f t="shared" si="10"/>
        <v>45-54</v>
      </c>
    </row>
    <row r="653" spans="1:19" x14ac:dyDescent="0.35">
      <c r="A653" s="2">
        <v>44544</v>
      </c>
      <c r="B653" s="2" t="str">
        <f>TEXT(Bike_Sales[[#This Row],[Date]],"mmmm")</f>
        <v>December</v>
      </c>
      <c r="C653" s="19">
        <f>MONTH(Bike_Sales[[#This Row],[Date]])</f>
        <v>12</v>
      </c>
      <c r="D653" s="2" t="str">
        <f>TEXT(Bike_Sales[[#This Row],[Date]],"dddd")</f>
        <v>Tuesday</v>
      </c>
      <c r="E653" s="3">
        <v>46</v>
      </c>
      <c r="F653" s="3" t="s">
        <v>135</v>
      </c>
      <c r="G653" s="3" t="s">
        <v>18</v>
      </c>
      <c r="H653" s="3" t="s">
        <v>35</v>
      </c>
      <c r="I653" s="3" t="s">
        <v>11</v>
      </c>
      <c r="J653" s="3" t="s">
        <v>101</v>
      </c>
      <c r="K653" s="3" t="s">
        <v>32</v>
      </c>
      <c r="L653" s="4">
        <v>4</v>
      </c>
      <c r="M653" s="3">
        <v>700</v>
      </c>
      <c r="N653" s="3">
        <v>1100</v>
      </c>
      <c r="O653" s="15">
        <f>Bike_Sales[[#This Row],[Order_Quantity]]*Bike_Sales[[#This Row],[Unit_Price]]</f>
        <v>4400</v>
      </c>
      <c r="P653" s="15">
        <f>Bike_Sales[[#This Row],[Order_Quantity]]*Bike_Sales[[#This Row],[Unit_Cost]]</f>
        <v>2800</v>
      </c>
      <c r="Q653" s="15">
        <f>Bike_Sales[[#This Row],[Total Sales]]-Bike_Sales[[#This Row],[Total Cost]]</f>
        <v>1600</v>
      </c>
      <c r="R653" s="17">
        <f>Bike_Sales[[#This Row],[Profit]]/Bike_Sales[[#This Row],[Total Sales]]</f>
        <v>0.36363636363636365</v>
      </c>
      <c r="S653" s="16" t="str">
        <f t="shared" si="10"/>
        <v>45-54</v>
      </c>
    </row>
    <row r="654" spans="1:19" x14ac:dyDescent="0.35">
      <c r="A654" s="2">
        <v>44558</v>
      </c>
      <c r="B654" s="2" t="str">
        <f>TEXT(Bike_Sales[[#This Row],[Date]],"mmmm")</f>
        <v>December</v>
      </c>
      <c r="C654" s="19">
        <f>MONTH(Bike_Sales[[#This Row],[Date]])</f>
        <v>12</v>
      </c>
      <c r="D654" s="2" t="str">
        <f>TEXT(Bike_Sales[[#This Row],[Date]],"dddd")</f>
        <v>Tuesday</v>
      </c>
      <c r="E654" s="3">
        <v>46</v>
      </c>
      <c r="F654" s="3" t="s">
        <v>126</v>
      </c>
      <c r="G654" s="3" t="s">
        <v>33</v>
      </c>
      <c r="H654" s="3" t="s">
        <v>56</v>
      </c>
      <c r="I654" s="3" t="s">
        <v>11</v>
      </c>
      <c r="J654" s="3" t="s">
        <v>102</v>
      </c>
      <c r="K654" s="3" t="s">
        <v>86</v>
      </c>
      <c r="L654" s="4">
        <v>1</v>
      </c>
      <c r="M654" s="3">
        <v>620</v>
      </c>
      <c r="N654" s="3">
        <v>980</v>
      </c>
      <c r="O654" s="15">
        <f>Bike_Sales[[#This Row],[Order_Quantity]]*Bike_Sales[[#This Row],[Unit_Price]]</f>
        <v>980</v>
      </c>
      <c r="P654" s="15">
        <f>Bike_Sales[[#This Row],[Order_Quantity]]*Bike_Sales[[#This Row],[Unit_Cost]]</f>
        <v>620</v>
      </c>
      <c r="Q654" s="15">
        <f>Bike_Sales[[#This Row],[Total Sales]]-Bike_Sales[[#This Row],[Total Cost]]</f>
        <v>360</v>
      </c>
      <c r="R654" s="17">
        <f>Bike_Sales[[#This Row],[Profit]]/Bike_Sales[[#This Row],[Total Sales]]</f>
        <v>0.36734693877551022</v>
      </c>
      <c r="S654" s="16" t="str">
        <f t="shared" si="10"/>
        <v>45-54</v>
      </c>
    </row>
    <row r="655" spans="1:19" x14ac:dyDescent="0.35">
      <c r="A655" s="2">
        <v>44560</v>
      </c>
      <c r="B655" s="2" t="str">
        <f>TEXT(Bike_Sales[[#This Row],[Date]],"mmmm")</f>
        <v>December</v>
      </c>
      <c r="C655" s="19">
        <f>MONTH(Bike_Sales[[#This Row],[Date]])</f>
        <v>12</v>
      </c>
      <c r="D655" s="2" t="str">
        <f>TEXT(Bike_Sales[[#This Row],[Date]],"dddd")</f>
        <v>Thursday</v>
      </c>
      <c r="E655" s="3">
        <v>46</v>
      </c>
      <c r="F655" s="3" t="s">
        <v>135</v>
      </c>
      <c r="G655" s="3" t="s">
        <v>18</v>
      </c>
      <c r="H655" s="3" t="s">
        <v>24</v>
      </c>
      <c r="I655" s="3" t="s">
        <v>11</v>
      </c>
      <c r="J655" s="3" t="s">
        <v>101</v>
      </c>
      <c r="K655" s="3" t="s">
        <v>32</v>
      </c>
      <c r="L655" s="4">
        <v>1</v>
      </c>
      <c r="M655" s="3">
        <v>700</v>
      </c>
      <c r="N655" s="3">
        <v>1100</v>
      </c>
      <c r="O655" s="15">
        <f>Bike_Sales[[#This Row],[Order_Quantity]]*Bike_Sales[[#This Row],[Unit_Price]]</f>
        <v>1100</v>
      </c>
      <c r="P655" s="15">
        <f>Bike_Sales[[#This Row],[Order_Quantity]]*Bike_Sales[[#This Row],[Unit_Cost]]</f>
        <v>700</v>
      </c>
      <c r="Q655" s="15">
        <f>Bike_Sales[[#This Row],[Total Sales]]-Bike_Sales[[#This Row],[Total Cost]]</f>
        <v>400</v>
      </c>
      <c r="R655" s="17">
        <f>Bike_Sales[[#This Row],[Profit]]/Bike_Sales[[#This Row],[Total Sales]]</f>
        <v>0.36363636363636365</v>
      </c>
      <c r="S655" s="16" t="str">
        <f t="shared" si="10"/>
        <v>45-54</v>
      </c>
    </row>
    <row r="656" spans="1:19" x14ac:dyDescent="0.35">
      <c r="A656" s="2">
        <v>44471</v>
      </c>
      <c r="B656" s="2" t="str">
        <f>TEXT(Bike_Sales[[#This Row],[Date]],"mmmm")</f>
        <v>October</v>
      </c>
      <c r="C656" s="19">
        <f>MONTH(Bike_Sales[[#This Row],[Date]])</f>
        <v>10</v>
      </c>
      <c r="D656" s="2" t="str">
        <f>TEXT(Bike_Sales[[#This Row],[Date]],"dddd")</f>
        <v>Saturday</v>
      </c>
      <c r="E656" s="3">
        <v>47</v>
      </c>
      <c r="F656" s="3" t="s">
        <v>135</v>
      </c>
      <c r="G656" s="3" t="s">
        <v>9</v>
      </c>
      <c r="H656" s="3" t="s">
        <v>10</v>
      </c>
      <c r="I656" s="3" t="s">
        <v>11</v>
      </c>
      <c r="J656" s="3" t="s">
        <v>104</v>
      </c>
      <c r="K656" s="3" t="s">
        <v>27</v>
      </c>
      <c r="L656" s="4">
        <v>2</v>
      </c>
      <c r="M656" s="3">
        <v>530</v>
      </c>
      <c r="N656" s="3">
        <v>840</v>
      </c>
      <c r="O656" s="15">
        <f>Bike_Sales[[#This Row],[Order_Quantity]]*Bike_Sales[[#This Row],[Unit_Price]]</f>
        <v>1680</v>
      </c>
      <c r="P656" s="15">
        <f>Bike_Sales[[#This Row],[Order_Quantity]]*Bike_Sales[[#This Row],[Unit_Cost]]</f>
        <v>1060</v>
      </c>
      <c r="Q656" s="15">
        <f>Bike_Sales[[#This Row],[Total Sales]]-Bike_Sales[[#This Row],[Total Cost]]</f>
        <v>620</v>
      </c>
      <c r="R656" s="17">
        <f>Bike_Sales[[#This Row],[Profit]]/Bike_Sales[[#This Row],[Total Sales]]</f>
        <v>0.36904761904761907</v>
      </c>
      <c r="S656" s="16" t="str">
        <f t="shared" si="10"/>
        <v>45-54</v>
      </c>
    </row>
    <row r="657" spans="1:19" x14ac:dyDescent="0.35">
      <c r="A657" s="2">
        <v>44474</v>
      </c>
      <c r="B657" s="2" t="str">
        <f>TEXT(Bike_Sales[[#This Row],[Date]],"mmmm")</f>
        <v>October</v>
      </c>
      <c r="C657" s="19">
        <f>MONTH(Bike_Sales[[#This Row],[Date]])</f>
        <v>10</v>
      </c>
      <c r="D657" s="2" t="str">
        <f>TEXT(Bike_Sales[[#This Row],[Date]],"dddd")</f>
        <v>Tuesday</v>
      </c>
      <c r="E657" s="3">
        <v>47</v>
      </c>
      <c r="F657" s="3" t="s">
        <v>135</v>
      </c>
      <c r="G657" s="3" t="s">
        <v>18</v>
      </c>
      <c r="H657" s="3" t="s">
        <v>35</v>
      </c>
      <c r="I657" s="3" t="s">
        <v>11</v>
      </c>
      <c r="J657" s="3" t="s">
        <v>102</v>
      </c>
      <c r="K657" s="3" t="s">
        <v>47</v>
      </c>
      <c r="L657" s="4">
        <v>1</v>
      </c>
      <c r="M657" s="3">
        <v>900</v>
      </c>
      <c r="N657" s="3">
        <v>1400</v>
      </c>
      <c r="O657" s="15">
        <f>Bike_Sales[[#This Row],[Order_Quantity]]*Bike_Sales[[#This Row],[Unit_Price]]</f>
        <v>1400</v>
      </c>
      <c r="P657" s="15">
        <f>Bike_Sales[[#This Row],[Order_Quantity]]*Bike_Sales[[#This Row],[Unit_Cost]]</f>
        <v>900</v>
      </c>
      <c r="Q657" s="15">
        <f>Bike_Sales[[#This Row],[Total Sales]]-Bike_Sales[[#This Row],[Total Cost]]</f>
        <v>500</v>
      </c>
      <c r="R657" s="17">
        <f>Bike_Sales[[#This Row],[Profit]]/Bike_Sales[[#This Row],[Total Sales]]</f>
        <v>0.35714285714285715</v>
      </c>
      <c r="S657" s="16" t="str">
        <f t="shared" si="10"/>
        <v>45-54</v>
      </c>
    </row>
    <row r="658" spans="1:19" x14ac:dyDescent="0.35">
      <c r="A658" s="2">
        <v>44479</v>
      </c>
      <c r="B658" s="2" t="str">
        <f>TEXT(Bike_Sales[[#This Row],[Date]],"mmmm")</f>
        <v>October</v>
      </c>
      <c r="C658" s="19">
        <f>MONTH(Bike_Sales[[#This Row],[Date]])</f>
        <v>10</v>
      </c>
      <c r="D658" s="2" t="str">
        <f>TEXT(Bike_Sales[[#This Row],[Date]],"dddd")</f>
        <v>Sunday</v>
      </c>
      <c r="E658" s="3">
        <v>47</v>
      </c>
      <c r="F658" s="3" t="s">
        <v>135</v>
      </c>
      <c r="G658" s="3" t="s">
        <v>18</v>
      </c>
      <c r="H658" s="3" t="s">
        <v>24</v>
      </c>
      <c r="I658" s="3" t="s">
        <v>16</v>
      </c>
      <c r="J658" s="3" t="s">
        <v>103</v>
      </c>
      <c r="K658" s="3" t="s">
        <v>58</v>
      </c>
      <c r="L658" s="4">
        <v>1</v>
      </c>
      <c r="M658" s="3">
        <v>480</v>
      </c>
      <c r="N658" s="3">
        <v>760</v>
      </c>
      <c r="O658" s="15">
        <f>Bike_Sales[[#This Row],[Order_Quantity]]*Bike_Sales[[#This Row],[Unit_Price]]</f>
        <v>760</v>
      </c>
      <c r="P658" s="15">
        <f>Bike_Sales[[#This Row],[Order_Quantity]]*Bike_Sales[[#This Row],[Unit_Cost]]</f>
        <v>480</v>
      </c>
      <c r="Q658" s="15">
        <f>Bike_Sales[[#This Row],[Total Sales]]-Bike_Sales[[#This Row],[Total Cost]]</f>
        <v>280</v>
      </c>
      <c r="R658" s="17">
        <f>Bike_Sales[[#This Row],[Profit]]/Bike_Sales[[#This Row],[Total Sales]]</f>
        <v>0.36842105263157893</v>
      </c>
      <c r="S658" s="16" t="str">
        <f t="shared" si="10"/>
        <v>45-54</v>
      </c>
    </row>
    <row r="659" spans="1:19" x14ac:dyDescent="0.35">
      <c r="A659" s="2">
        <v>44482</v>
      </c>
      <c r="B659" s="2" t="str">
        <f>TEXT(Bike_Sales[[#This Row],[Date]],"mmmm")</f>
        <v>October</v>
      </c>
      <c r="C659" s="19">
        <f>MONTH(Bike_Sales[[#This Row],[Date]])</f>
        <v>10</v>
      </c>
      <c r="D659" s="2" t="str">
        <f>TEXT(Bike_Sales[[#This Row],[Date]],"dddd")</f>
        <v>Wednesday</v>
      </c>
      <c r="E659" s="3">
        <v>47</v>
      </c>
      <c r="F659" s="3" t="s">
        <v>126</v>
      </c>
      <c r="G659" s="3" t="s">
        <v>18</v>
      </c>
      <c r="H659" s="3" t="s">
        <v>24</v>
      </c>
      <c r="I659" s="3" t="s">
        <v>16</v>
      </c>
      <c r="J659" s="3" t="s">
        <v>103</v>
      </c>
      <c r="K659" s="3" t="s">
        <v>71</v>
      </c>
      <c r="L659" s="4">
        <v>1</v>
      </c>
      <c r="M659" s="3">
        <v>480</v>
      </c>
      <c r="N659" s="3">
        <v>760</v>
      </c>
      <c r="O659" s="15">
        <f>Bike_Sales[[#This Row],[Order_Quantity]]*Bike_Sales[[#This Row],[Unit_Price]]</f>
        <v>760</v>
      </c>
      <c r="P659" s="15">
        <f>Bike_Sales[[#This Row],[Order_Quantity]]*Bike_Sales[[#This Row],[Unit_Cost]]</f>
        <v>480</v>
      </c>
      <c r="Q659" s="15">
        <f>Bike_Sales[[#This Row],[Total Sales]]-Bike_Sales[[#This Row],[Total Cost]]</f>
        <v>280</v>
      </c>
      <c r="R659" s="17">
        <f>Bike_Sales[[#This Row],[Profit]]/Bike_Sales[[#This Row],[Total Sales]]</f>
        <v>0.36842105263157893</v>
      </c>
      <c r="S659" s="16" t="str">
        <f t="shared" si="10"/>
        <v>45-54</v>
      </c>
    </row>
    <row r="660" spans="1:19" x14ac:dyDescent="0.35">
      <c r="A660" s="2">
        <v>44485</v>
      </c>
      <c r="B660" s="2" t="str">
        <f>TEXT(Bike_Sales[[#This Row],[Date]],"mmmm")</f>
        <v>October</v>
      </c>
      <c r="C660" s="19">
        <f>MONTH(Bike_Sales[[#This Row],[Date]])</f>
        <v>10</v>
      </c>
      <c r="D660" s="2" t="str">
        <f>TEXT(Bike_Sales[[#This Row],[Date]],"dddd")</f>
        <v>Saturday</v>
      </c>
      <c r="E660" s="3">
        <v>47</v>
      </c>
      <c r="F660" s="3" t="s">
        <v>126</v>
      </c>
      <c r="G660" s="3" t="s">
        <v>9</v>
      </c>
      <c r="H660" s="3" t="s">
        <v>10</v>
      </c>
      <c r="I660" s="3" t="s">
        <v>11</v>
      </c>
      <c r="J660" s="3" t="s">
        <v>102</v>
      </c>
      <c r="K660" s="3" t="s">
        <v>74</v>
      </c>
      <c r="L660" s="4">
        <v>4</v>
      </c>
      <c r="M660" s="3">
        <v>500</v>
      </c>
      <c r="N660" s="3">
        <v>950</v>
      </c>
      <c r="O660" s="15">
        <f>Bike_Sales[[#This Row],[Order_Quantity]]*Bike_Sales[[#This Row],[Unit_Price]]</f>
        <v>3800</v>
      </c>
      <c r="P660" s="15">
        <f>Bike_Sales[[#This Row],[Order_Quantity]]*Bike_Sales[[#This Row],[Unit_Cost]]</f>
        <v>2000</v>
      </c>
      <c r="Q660" s="15">
        <f>Bike_Sales[[#This Row],[Total Sales]]-Bike_Sales[[#This Row],[Total Cost]]</f>
        <v>1800</v>
      </c>
      <c r="R660" s="17">
        <f>Bike_Sales[[#This Row],[Profit]]/Bike_Sales[[#This Row],[Total Sales]]</f>
        <v>0.47368421052631576</v>
      </c>
      <c r="S660" s="16" t="str">
        <f t="shared" si="10"/>
        <v>45-54</v>
      </c>
    </row>
    <row r="661" spans="1:19" x14ac:dyDescent="0.35">
      <c r="A661" s="2">
        <v>44485</v>
      </c>
      <c r="B661" s="2" t="str">
        <f>TEXT(Bike_Sales[[#This Row],[Date]],"mmmm")</f>
        <v>October</v>
      </c>
      <c r="C661" s="19">
        <f>MONTH(Bike_Sales[[#This Row],[Date]])</f>
        <v>10</v>
      </c>
      <c r="D661" s="2" t="str">
        <f>TEXT(Bike_Sales[[#This Row],[Date]],"dddd")</f>
        <v>Saturday</v>
      </c>
      <c r="E661" s="3">
        <v>47</v>
      </c>
      <c r="F661" s="3" t="s">
        <v>135</v>
      </c>
      <c r="G661" s="3" t="s">
        <v>9</v>
      </c>
      <c r="H661" s="3" t="s">
        <v>75</v>
      </c>
      <c r="I661" s="3" t="s">
        <v>11</v>
      </c>
      <c r="J661" s="3" t="s">
        <v>102</v>
      </c>
      <c r="K661" s="3" t="s">
        <v>23</v>
      </c>
      <c r="L661" s="4">
        <v>2</v>
      </c>
      <c r="M661" s="3">
        <v>620</v>
      </c>
      <c r="N661" s="3">
        <v>980</v>
      </c>
      <c r="O661" s="15">
        <f>Bike_Sales[[#This Row],[Order_Quantity]]*Bike_Sales[[#This Row],[Unit_Price]]</f>
        <v>1960</v>
      </c>
      <c r="P661" s="15">
        <f>Bike_Sales[[#This Row],[Order_Quantity]]*Bike_Sales[[#This Row],[Unit_Cost]]</f>
        <v>1240</v>
      </c>
      <c r="Q661" s="15">
        <f>Bike_Sales[[#This Row],[Total Sales]]-Bike_Sales[[#This Row],[Total Cost]]</f>
        <v>720</v>
      </c>
      <c r="R661" s="17">
        <f>Bike_Sales[[#This Row],[Profit]]/Bike_Sales[[#This Row],[Total Sales]]</f>
        <v>0.36734693877551022</v>
      </c>
      <c r="S661" s="16" t="str">
        <f t="shared" si="10"/>
        <v>45-54</v>
      </c>
    </row>
    <row r="662" spans="1:19" x14ac:dyDescent="0.35">
      <c r="A662" s="2">
        <v>44492</v>
      </c>
      <c r="B662" s="2" t="str">
        <f>TEXT(Bike_Sales[[#This Row],[Date]],"mmmm")</f>
        <v>October</v>
      </c>
      <c r="C662" s="19">
        <f>MONTH(Bike_Sales[[#This Row],[Date]])</f>
        <v>10</v>
      </c>
      <c r="D662" s="2" t="str">
        <f>TEXT(Bike_Sales[[#This Row],[Date]],"dddd")</f>
        <v>Saturday</v>
      </c>
      <c r="E662" s="3">
        <v>47</v>
      </c>
      <c r="F662" s="3" t="s">
        <v>135</v>
      </c>
      <c r="G662" s="3" t="s">
        <v>18</v>
      </c>
      <c r="H662" s="3" t="s">
        <v>19</v>
      </c>
      <c r="I662" s="3" t="s">
        <v>16</v>
      </c>
      <c r="J662" s="3" t="s">
        <v>101</v>
      </c>
      <c r="K662" s="3" t="s">
        <v>49</v>
      </c>
      <c r="L662" s="4">
        <v>1</v>
      </c>
      <c r="M662" s="3">
        <v>550</v>
      </c>
      <c r="N662" s="3">
        <v>850</v>
      </c>
      <c r="O662" s="15">
        <f>Bike_Sales[[#This Row],[Order_Quantity]]*Bike_Sales[[#This Row],[Unit_Price]]</f>
        <v>850</v>
      </c>
      <c r="P662" s="15">
        <f>Bike_Sales[[#This Row],[Order_Quantity]]*Bike_Sales[[#This Row],[Unit_Cost]]</f>
        <v>550</v>
      </c>
      <c r="Q662" s="15">
        <f>Bike_Sales[[#This Row],[Total Sales]]-Bike_Sales[[#This Row],[Total Cost]]</f>
        <v>300</v>
      </c>
      <c r="R662" s="17">
        <f>Bike_Sales[[#This Row],[Profit]]/Bike_Sales[[#This Row],[Total Sales]]</f>
        <v>0.35294117647058826</v>
      </c>
      <c r="S662" s="16" t="str">
        <f t="shared" si="10"/>
        <v>45-54</v>
      </c>
    </row>
    <row r="663" spans="1:19" x14ac:dyDescent="0.35">
      <c r="A663" s="2">
        <v>44495</v>
      </c>
      <c r="B663" s="2" t="str">
        <f>TEXT(Bike_Sales[[#This Row],[Date]],"mmmm")</f>
        <v>October</v>
      </c>
      <c r="C663" s="19">
        <f>MONTH(Bike_Sales[[#This Row],[Date]])</f>
        <v>10</v>
      </c>
      <c r="D663" s="2" t="str">
        <f>TEXT(Bike_Sales[[#This Row],[Date]],"dddd")</f>
        <v>Tuesday</v>
      </c>
      <c r="E663" s="3">
        <v>47</v>
      </c>
      <c r="F663" s="3" t="s">
        <v>135</v>
      </c>
      <c r="G663" s="3" t="s">
        <v>39</v>
      </c>
      <c r="H663" s="3" t="s">
        <v>42</v>
      </c>
      <c r="I663" s="3" t="s">
        <v>11</v>
      </c>
      <c r="J663" s="3" t="s">
        <v>102</v>
      </c>
      <c r="K663" s="3" t="s">
        <v>72</v>
      </c>
      <c r="L663" s="4">
        <v>1</v>
      </c>
      <c r="M663" s="3">
        <v>580</v>
      </c>
      <c r="N663" s="3">
        <v>920</v>
      </c>
      <c r="O663" s="15">
        <f>Bike_Sales[[#This Row],[Order_Quantity]]*Bike_Sales[[#This Row],[Unit_Price]]</f>
        <v>920</v>
      </c>
      <c r="P663" s="15">
        <f>Bike_Sales[[#This Row],[Order_Quantity]]*Bike_Sales[[#This Row],[Unit_Cost]]</f>
        <v>580</v>
      </c>
      <c r="Q663" s="15">
        <f>Bike_Sales[[#This Row],[Total Sales]]-Bike_Sales[[#This Row],[Total Cost]]</f>
        <v>340</v>
      </c>
      <c r="R663" s="17">
        <f>Bike_Sales[[#This Row],[Profit]]/Bike_Sales[[#This Row],[Total Sales]]</f>
        <v>0.36956521739130432</v>
      </c>
      <c r="S663" s="16" t="str">
        <f t="shared" si="10"/>
        <v>45-54</v>
      </c>
    </row>
    <row r="664" spans="1:19" x14ac:dyDescent="0.35">
      <c r="A664" s="2">
        <v>44496</v>
      </c>
      <c r="B664" s="2" t="str">
        <f>TEXT(Bike_Sales[[#This Row],[Date]],"mmmm")</f>
        <v>October</v>
      </c>
      <c r="C664" s="19">
        <f>MONTH(Bike_Sales[[#This Row],[Date]])</f>
        <v>10</v>
      </c>
      <c r="D664" s="2" t="str">
        <f>TEXT(Bike_Sales[[#This Row],[Date]],"dddd")</f>
        <v>Wednesday</v>
      </c>
      <c r="E664" s="3">
        <v>47</v>
      </c>
      <c r="F664" s="3" t="s">
        <v>126</v>
      </c>
      <c r="G664" s="3" t="s">
        <v>13</v>
      </c>
      <c r="H664" s="3" t="s">
        <v>127</v>
      </c>
      <c r="I664" s="3" t="s">
        <v>11</v>
      </c>
      <c r="J664" s="3" t="s">
        <v>101</v>
      </c>
      <c r="K664" s="3" t="s">
        <v>60</v>
      </c>
      <c r="L664" s="4">
        <v>3</v>
      </c>
      <c r="M664" s="3">
        <v>700</v>
      </c>
      <c r="N664" s="3">
        <v>1100</v>
      </c>
      <c r="O664" s="15">
        <f>Bike_Sales[[#This Row],[Order_Quantity]]*Bike_Sales[[#This Row],[Unit_Price]]</f>
        <v>3300</v>
      </c>
      <c r="P664" s="15">
        <f>Bike_Sales[[#This Row],[Order_Quantity]]*Bike_Sales[[#This Row],[Unit_Cost]]</f>
        <v>2100</v>
      </c>
      <c r="Q664" s="15">
        <f>Bike_Sales[[#This Row],[Total Sales]]-Bike_Sales[[#This Row],[Total Cost]]</f>
        <v>1200</v>
      </c>
      <c r="R664" s="17">
        <f>Bike_Sales[[#This Row],[Profit]]/Bike_Sales[[#This Row],[Total Sales]]</f>
        <v>0.36363636363636365</v>
      </c>
      <c r="S664" s="16" t="str">
        <f t="shared" si="10"/>
        <v>45-54</v>
      </c>
    </row>
    <row r="665" spans="1:19" x14ac:dyDescent="0.35">
      <c r="A665" s="2">
        <v>44503</v>
      </c>
      <c r="B665" s="2" t="str">
        <f>TEXT(Bike_Sales[[#This Row],[Date]],"mmmm")</f>
        <v>November</v>
      </c>
      <c r="C665" s="19">
        <f>MONTH(Bike_Sales[[#This Row],[Date]])</f>
        <v>11</v>
      </c>
      <c r="D665" s="2" t="str">
        <f>TEXT(Bike_Sales[[#This Row],[Date]],"dddd")</f>
        <v>Wednesday</v>
      </c>
      <c r="E665" s="3">
        <v>47</v>
      </c>
      <c r="F665" s="3" t="s">
        <v>135</v>
      </c>
      <c r="G665" s="3" t="s">
        <v>9</v>
      </c>
      <c r="H665" s="3" t="s">
        <v>37</v>
      </c>
      <c r="I665" s="3" t="s">
        <v>16</v>
      </c>
      <c r="J665" s="3" t="s">
        <v>103</v>
      </c>
      <c r="K665" s="3" t="s">
        <v>64</v>
      </c>
      <c r="L665" s="4">
        <v>1</v>
      </c>
      <c r="M665" s="3">
        <v>480</v>
      </c>
      <c r="N665" s="3">
        <v>760</v>
      </c>
      <c r="O665" s="15">
        <f>Bike_Sales[[#This Row],[Order_Quantity]]*Bike_Sales[[#This Row],[Unit_Price]]</f>
        <v>760</v>
      </c>
      <c r="P665" s="15">
        <f>Bike_Sales[[#This Row],[Order_Quantity]]*Bike_Sales[[#This Row],[Unit_Cost]]</f>
        <v>480</v>
      </c>
      <c r="Q665" s="15">
        <f>Bike_Sales[[#This Row],[Total Sales]]-Bike_Sales[[#This Row],[Total Cost]]</f>
        <v>280</v>
      </c>
      <c r="R665" s="17">
        <f>Bike_Sales[[#This Row],[Profit]]/Bike_Sales[[#This Row],[Total Sales]]</f>
        <v>0.36842105263157893</v>
      </c>
      <c r="S665" s="16" t="str">
        <f t="shared" si="10"/>
        <v>45-54</v>
      </c>
    </row>
    <row r="666" spans="1:19" x14ac:dyDescent="0.35">
      <c r="A666" s="2">
        <v>44533</v>
      </c>
      <c r="B666" s="2" t="str">
        <f>TEXT(Bike_Sales[[#This Row],[Date]],"mmmm")</f>
        <v>December</v>
      </c>
      <c r="C666" s="19">
        <f>MONTH(Bike_Sales[[#This Row],[Date]])</f>
        <v>12</v>
      </c>
      <c r="D666" s="2" t="str">
        <f>TEXT(Bike_Sales[[#This Row],[Date]],"dddd")</f>
        <v>Friday</v>
      </c>
      <c r="E666" s="3">
        <v>47</v>
      </c>
      <c r="F666" s="3" t="s">
        <v>126</v>
      </c>
      <c r="G666" s="3" t="s">
        <v>18</v>
      </c>
      <c r="H666" s="3" t="s">
        <v>24</v>
      </c>
      <c r="I666" s="3" t="s">
        <v>11</v>
      </c>
      <c r="J666" s="3" t="s">
        <v>101</v>
      </c>
      <c r="K666" s="3" t="s">
        <v>60</v>
      </c>
      <c r="L666" s="4">
        <v>4</v>
      </c>
      <c r="M666" s="3">
        <v>700</v>
      </c>
      <c r="N666" s="3">
        <v>1100</v>
      </c>
      <c r="O666" s="15">
        <f>Bike_Sales[[#This Row],[Order_Quantity]]*Bike_Sales[[#This Row],[Unit_Price]]</f>
        <v>4400</v>
      </c>
      <c r="P666" s="15">
        <f>Bike_Sales[[#This Row],[Order_Quantity]]*Bike_Sales[[#This Row],[Unit_Cost]]</f>
        <v>2800</v>
      </c>
      <c r="Q666" s="15">
        <f>Bike_Sales[[#This Row],[Total Sales]]-Bike_Sales[[#This Row],[Total Cost]]</f>
        <v>1600</v>
      </c>
      <c r="R666" s="17">
        <f>Bike_Sales[[#This Row],[Profit]]/Bike_Sales[[#This Row],[Total Sales]]</f>
        <v>0.36363636363636365</v>
      </c>
      <c r="S666" s="16" t="str">
        <f t="shared" si="10"/>
        <v>45-54</v>
      </c>
    </row>
    <row r="667" spans="1:19" x14ac:dyDescent="0.35">
      <c r="A667" s="2">
        <v>44536</v>
      </c>
      <c r="B667" s="2" t="str">
        <f>TEXT(Bike_Sales[[#This Row],[Date]],"mmmm")</f>
        <v>December</v>
      </c>
      <c r="C667" s="19">
        <f>MONTH(Bike_Sales[[#This Row],[Date]])</f>
        <v>12</v>
      </c>
      <c r="D667" s="2" t="str">
        <f>TEXT(Bike_Sales[[#This Row],[Date]],"dddd")</f>
        <v>Monday</v>
      </c>
      <c r="E667" s="3">
        <v>47</v>
      </c>
      <c r="F667" s="3" t="s">
        <v>126</v>
      </c>
      <c r="G667" s="3" t="s">
        <v>129</v>
      </c>
      <c r="H667" s="3" t="s">
        <v>15</v>
      </c>
      <c r="I667" s="3" t="s">
        <v>16</v>
      </c>
      <c r="J667" s="3" t="s">
        <v>103</v>
      </c>
      <c r="K667" s="3" t="s">
        <v>22</v>
      </c>
      <c r="L667" s="4">
        <v>1</v>
      </c>
      <c r="M667" s="3">
        <v>550</v>
      </c>
      <c r="N667" s="3">
        <v>850</v>
      </c>
      <c r="O667" s="15">
        <f>Bike_Sales[[#This Row],[Order_Quantity]]*Bike_Sales[[#This Row],[Unit_Price]]</f>
        <v>850</v>
      </c>
      <c r="P667" s="15">
        <f>Bike_Sales[[#This Row],[Order_Quantity]]*Bike_Sales[[#This Row],[Unit_Cost]]</f>
        <v>550</v>
      </c>
      <c r="Q667" s="15">
        <f>Bike_Sales[[#This Row],[Total Sales]]-Bike_Sales[[#This Row],[Total Cost]]</f>
        <v>300</v>
      </c>
      <c r="R667" s="17">
        <f>Bike_Sales[[#This Row],[Profit]]/Bike_Sales[[#This Row],[Total Sales]]</f>
        <v>0.35294117647058826</v>
      </c>
      <c r="S667" s="16" t="str">
        <f t="shared" si="10"/>
        <v>45-54</v>
      </c>
    </row>
    <row r="668" spans="1:19" x14ac:dyDescent="0.35">
      <c r="A668" s="2">
        <v>44538</v>
      </c>
      <c r="B668" s="2" t="str">
        <f>TEXT(Bike_Sales[[#This Row],[Date]],"mmmm")</f>
        <v>December</v>
      </c>
      <c r="C668" s="19">
        <f>MONTH(Bike_Sales[[#This Row],[Date]])</f>
        <v>12</v>
      </c>
      <c r="D668" s="2" t="str">
        <f>TEXT(Bike_Sales[[#This Row],[Date]],"dddd")</f>
        <v>Wednesday</v>
      </c>
      <c r="E668" s="3">
        <v>47</v>
      </c>
      <c r="F668" s="3" t="s">
        <v>135</v>
      </c>
      <c r="G668" s="3" t="s">
        <v>13</v>
      </c>
      <c r="H668" s="3" t="s">
        <v>127</v>
      </c>
      <c r="I668" s="3" t="s">
        <v>11</v>
      </c>
      <c r="J668" s="3" t="s">
        <v>101</v>
      </c>
      <c r="K668" s="3" t="s">
        <v>67</v>
      </c>
      <c r="L668" s="4">
        <v>1</v>
      </c>
      <c r="M668" s="3">
        <v>700</v>
      </c>
      <c r="N668" s="3">
        <v>1100</v>
      </c>
      <c r="O668" s="15">
        <f>Bike_Sales[[#This Row],[Order_Quantity]]*Bike_Sales[[#This Row],[Unit_Price]]</f>
        <v>1100</v>
      </c>
      <c r="P668" s="15">
        <f>Bike_Sales[[#This Row],[Order_Quantity]]*Bike_Sales[[#This Row],[Unit_Cost]]</f>
        <v>700</v>
      </c>
      <c r="Q668" s="15">
        <f>Bike_Sales[[#This Row],[Total Sales]]-Bike_Sales[[#This Row],[Total Cost]]</f>
        <v>400</v>
      </c>
      <c r="R668" s="17">
        <f>Bike_Sales[[#This Row],[Profit]]/Bike_Sales[[#This Row],[Total Sales]]</f>
        <v>0.36363636363636365</v>
      </c>
      <c r="S668" s="16" t="str">
        <f t="shared" si="10"/>
        <v>45-54</v>
      </c>
    </row>
    <row r="669" spans="1:19" x14ac:dyDescent="0.35">
      <c r="A669" s="2">
        <v>44542</v>
      </c>
      <c r="B669" s="2" t="str">
        <f>TEXT(Bike_Sales[[#This Row],[Date]],"mmmm")</f>
        <v>December</v>
      </c>
      <c r="C669" s="19">
        <f>MONTH(Bike_Sales[[#This Row],[Date]])</f>
        <v>12</v>
      </c>
      <c r="D669" s="2" t="str">
        <f>TEXT(Bike_Sales[[#This Row],[Date]],"dddd")</f>
        <v>Sunday</v>
      </c>
      <c r="E669" s="3">
        <v>47</v>
      </c>
      <c r="F669" s="3" t="s">
        <v>126</v>
      </c>
      <c r="G669" s="3" t="s">
        <v>33</v>
      </c>
      <c r="H669" s="3" t="s">
        <v>136</v>
      </c>
      <c r="I669" s="3" t="s">
        <v>11</v>
      </c>
      <c r="J669" s="3" t="s">
        <v>101</v>
      </c>
      <c r="K669" s="3" t="s">
        <v>87</v>
      </c>
      <c r="L669" s="4">
        <v>4</v>
      </c>
      <c r="M669" s="3">
        <v>620</v>
      </c>
      <c r="N669" s="3">
        <v>980</v>
      </c>
      <c r="O669" s="15">
        <f>Bike_Sales[[#This Row],[Order_Quantity]]*Bike_Sales[[#This Row],[Unit_Price]]</f>
        <v>3920</v>
      </c>
      <c r="P669" s="15">
        <f>Bike_Sales[[#This Row],[Order_Quantity]]*Bike_Sales[[#This Row],[Unit_Cost]]</f>
        <v>2480</v>
      </c>
      <c r="Q669" s="15">
        <f>Bike_Sales[[#This Row],[Total Sales]]-Bike_Sales[[#This Row],[Total Cost]]</f>
        <v>1440</v>
      </c>
      <c r="R669" s="17">
        <f>Bike_Sales[[#This Row],[Profit]]/Bike_Sales[[#This Row],[Total Sales]]</f>
        <v>0.36734693877551022</v>
      </c>
      <c r="S669" s="16" t="str">
        <f t="shared" si="10"/>
        <v>45-54</v>
      </c>
    </row>
    <row r="670" spans="1:19" x14ac:dyDescent="0.35">
      <c r="A670" s="2">
        <v>44545</v>
      </c>
      <c r="B670" s="2" t="str">
        <f>TEXT(Bike_Sales[[#This Row],[Date]],"mmmm")</f>
        <v>December</v>
      </c>
      <c r="C670" s="19">
        <f>MONTH(Bike_Sales[[#This Row],[Date]])</f>
        <v>12</v>
      </c>
      <c r="D670" s="2" t="str">
        <f>TEXT(Bike_Sales[[#This Row],[Date]],"dddd")</f>
        <v>Wednesday</v>
      </c>
      <c r="E670" s="3">
        <v>47</v>
      </c>
      <c r="F670" s="3" t="s">
        <v>126</v>
      </c>
      <c r="G670" s="3" t="s">
        <v>129</v>
      </c>
      <c r="H670" s="3" t="s">
        <v>15</v>
      </c>
      <c r="I670" s="3" t="s">
        <v>11</v>
      </c>
      <c r="J670" s="3" t="s">
        <v>101</v>
      </c>
      <c r="K670" s="3" t="s">
        <v>91</v>
      </c>
      <c r="L670" s="4">
        <v>2</v>
      </c>
      <c r="M670" s="3">
        <v>620</v>
      </c>
      <c r="N670" s="3">
        <v>980</v>
      </c>
      <c r="O670" s="15">
        <f>Bike_Sales[[#This Row],[Order_Quantity]]*Bike_Sales[[#This Row],[Unit_Price]]</f>
        <v>1960</v>
      </c>
      <c r="P670" s="15">
        <f>Bike_Sales[[#This Row],[Order_Quantity]]*Bike_Sales[[#This Row],[Unit_Cost]]</f>
        <v>1240</v>
      </c>
      <c r="Q670" s="15">
        <f>Bike_Sales[[#This Row],[Total Sales]]-Bike_Sales[[#This Row],[Total Cost]]</f>
        <v>720</v>
      </c>
      <c r="R670" s="17">
        <f>Bike_Sales[[#This Row],[Profit]]/Bike_Sales[[#This Row],[Total Sales]]</f>
        <v>0.36734693877551022</v>
      </c>
      <c r="S670" s="16" t="str">
        <f t="shared" si="10"/>
        <v>45-54</v>
      </c>
    </row>
    <row r="671" spans="1:19" x14ac:dyDescent="0.35">
      <c r="A671" s="2">
        <v>44548</v>
      </c>
      <c r="B671" s="2" t="str">
        <f>TEXT(Bike_Sales[[#This Row],[Date]],"mmmm")</f>
        <v>December</v>
      </c>
      <c r="C671" s="19">
        <f>MONTH(Bike_Sales[[#This Row],[Date]])</f>
        <v>12</v>
      </c>
      <c r="D671" s="2" t="str">
        <f>TEXT(Bike_Sales[[#This Row],[Date]],"dddd")</f>
        <v>Saturday</v>
      </c>
      <c r="E671" s="3">
        <v>47</v>
      </c>
      <c r="F671" s="3" t="s">
        <v>126</v>
      </c>
      <c r="G671" s="3" t="s">
        <v>18</v>
      </c>
      <c r="H671" s="3" t="s">
        <v>35</v>
      </c>
      <c r="I671" s="3" t="s">
        <v>11</v>
      </c>
      <c r="J671" s="3" t="s">
        <v>101</v>
      </c>
      <c r="K671" s="3" t="s">
        <v>32</v>
      </c>
      <c r="L671" s="4">
        <v>2</v>
      </c>
      <c r="M671" s="3">
        <v>700</v>
      </c>
      <c r="N671" s="3">
        <v>1100</v>
      </c>
      <c r="O671" s="15">
        <f>Bike_Sales[[#This Row],[Order_Quantity]]*Bike_Sales[[#This Row],[Unit_Price]]</f>
        <v>2200</v>
      </c>
      <c r="P671" s="15">
        <f>Bike_Sales[[#This Row],[Order_Quantity]]*Bike_Sales[[#This Row],[Unit_Cost]]</f>
        <v>1400</v>
      </c>
      <c r="Q671" s="15">
        <f>Bike_Sales[[#This Row],[Total Sales]]-Bike_Sales[[#This Row],[Total Cost]]</f>
        <v>800</v>
      </c>
      <c r="R671" s="17">
        <f>Bike_Sales[[#This Row],[Profit]]/Bike_Sales[[#This Row],[Total Sales]]</f>
        <v>0.36363636363636365</v>
      </c>
      <c r="S671" s="16" t="str">
        <f t="shared" si="10"/>
        <v>45-54</v>
      </c>
    </row>
    <row r="672" spans="1:19" x14ac:dyDescent="0.35">
      <c r="A672" s="2">
        <v>44470</v>
      </c>
      <c r="B672" s="2" t="str">
        <f>TEXT(Bike_Sales[[#This Row],[Date]],"mmmm")</f>
        <v>October</v>
      </c>
      <c r="C672" s="19">
        <f>MONTH(Bike_Sales[[#This Row],[Date]])</f>
        <v>10</v>
      </c>
      <c r="D672" s="2" t="str">
        <f>TEXT(Bike_Sales[[#This Row],[Date]],"dddd")</f>
        <v>Friday</v>
      </c>
      <c r="E672" s="3">
        <v>48</v>
      </c>
      <c r="F672" s="3" t="s">
        <v>135</v>
      </c>
      <c r="G672" s="3" t="s">
        <v>9</v>
      </c>
      <c r="H672" s="3" t="s">
        <v>10</v>
      </c>
      <c r="I672" s="3" t="s">
        <v>11</v>
      </c>
      <c r="J672" s="3" t="s">
        <v>104</v>
      </c>
      <c r="K672" s="3" t="s">
        <v>12</v>
      </c>
      <c r="L672" s="4">
        <v>3</v>
      </c>
      <c r="M672" s="3">
        <v>500</v>
      </c>
      <c r="N672" s="3">
        <v>800</v>
      </c>
      <c r="O672" s="15">
        <f>Bike_Sales[[#This Row],[Order_Quantity]]*Bike_Sales[[#This Row],[Unit_Price]]</f>
        <v>2400</v>
      </c>
      <c r="P672" s="15">
        <f>Bike_Sales[[#This Row],[Order_Quantity]]*Bike_Sales[[#This Row],[Unit_Cost]]</f>
        <v>1500</v>
      </c>
      <c r="Q672" s="15">
        <f>Bike_Sales[[#This Row],[Total Sales]]-Bike_Sales[[#This Row],[Total Cost]]</f>
        <v>900</v>
      </c>
      <c r="R672" s="17">
        <f>Bike_Sales[[#This Row],[Profit]]/Bike_Sales[[#This Row],[Total Sales]]</f>
        <v>0.375</v>
      </c>
      <c r="S672" s="16" t="str">
        <f t="shared" si="10"/>
        <v>45-54</v>
      </c>
    </row>
    <row r="673" spans="1:19" x14ac:dyDescent="0.35">
      <c r="A673" s="2">
        <v>44483</v>
      </c>
      <c r="B673" s="2" t="str">
        <f>TEXT(Bike_Sales[[#This Row],[Date]],"mmmm")</f>
        <v>October</v>
      </c>
      <c r="C673" s="19">
        <f>MONTH(Bike_Sales[[#This Row],[Date]])</f>
        <v>10</v>
      </c>
      <c r="D673" s="2" t="str">
        <f>TEXT(Bike_Sales[[#This Row],[Date]],"dddd")</f>
        <v>Thursday</v>
      </c>
      <c r="E673" s="3">
        <v>48</v>
      </c>
      <c r="F673" s="3" t="s">
        <v>135</v>
      </c>
      <c r="G673" s="3" t="s">
        <v>18</v>
      </c>
      <c r="H673" s="3" t="s">
        <v>24</v>
      </c>
      <c r="I673" s="3" t="s">
        <v>11</v>
      </c>
      <c r="J673" s="3" t="s">
        <v>104</v>
      </c>
      <c r="K673" s="3" t="s">
        <v>53</v>
      </c>
      <c r="L673" s="4">
        <v>3</v>
      </c>
      <c r="M673" s="3">
        <v>500</v>
      </c>
      <c r="N673" s="3">
        <v>800</v>
      </c>
      <c r="O673" s="15">
        <f>Bike_Sales[[#This Row],[Order_Quantity]]*Bike_Sales[[#This Row],[Unit_Price]]</f>
        <v>2400</v>
      </c>
      <c r="P673" s="15">
        <f>Bike_Sales[[#This Row],[Order_Quantity]]*Bike_Sales[[#This Row],[Unit_Cost]]</f>
        <v>1500</v>
      </c>
      <c r="Q673" s="15">
        <f>Bike_Sales[[#This Row],[Total Sales]]-Bike_Sales[[#This Row],[Total Cost]]</f>
        <v>900</v>
      </c>
      <c r="R673" s="17">
        <f>Bike_Sales[[#This Row],[Profit]]/Bike_Sales[[#This Row],[Total Sales]]</f>
        <v>0.375</v>
      </c>
      <c r="S673" s="16" t="str">
        <f t="shared" si="10"/>
        <v>45-54</v>
      </c>
    </row>
    <row r="674" spans="1:19" x14ac:dyDescent="0.35">
      <c r="A674" s="2">
        <v>44501</v>
      </c>
      <c r="B674" s="2" t="str">
        <f>TEXT(Bike_Sales[[#This Row],[Date]],"mmmm")</f>
        <v>November</v>
      </c>
      <c r="C674" s="19">
        <f>MONTH(Bike_Sales[[#This Row],[Date]])</f>
        <v>11</v>
      </c>
      <c r="D674" s="2" t="str">
        <f>TEXT(Bike_Sales[[#This Row],[Date]],"dddd")</f>
        <v>Monday</v>
      </c>
      <c r="E674" s="3">
        <v>48</v>
      </c>
      <c r="F674" s="3" t="s">
        <v>126</v>
      </c>
      <c r="G674" s="3" t="s">
        <v>33</v>
      </c>
      <c r="H674" s="3" t="s">
        <v>73</v>
      </c>
      <c r="I674" s="3" t="s">
        <v>11</v>
      </c>
      <c r="J674" s="3" t="s">
        <v>101</v>
      </c>
      <c r="K674" s="3" t="s">
        <v>85</v>
      </c>
      <c r="L674" s="4">
        <v>1</v>
      </c>
      <c r="M674" s="3">
        <v>620</v>
      </c>
      <c r="N674" s="3">
        <v>980</v>
      </c>
      <c r="O674" s="15">
        <f>Bike_Sales[[#This Row],[Order_Quantity]]*Bike_Sales[[#This Row],[Unit_Price]]</f>
        <v>980</v>
      </c>
      <c r="P674" s="15">
        <f>Bike_Sales[[#This Row],[Order_Quantity]]*Bike_Sales[[#This Row],[Unit_Cost]]</f>
        <v>620</v>
      </c>
      <c r="Q674" s="15">
        <f>Bike_Sales[[#This Row],[Total Sales]]-Bike_Sales[[#This Row],[Total Cost]]</f>
        <v>360</v>
      </c>
      <c r="R674" s="17">
        <f>Bike_Sales[[#This Row],[Profit]]/Bike_Sales[[#This Row],[Total Sales]]</f>
        <v>0.36734693877551022</v>
      </c>
      <c r="S674" s="16" t="str">
        <f t="shared" si="10"/>
        <v>45-54</v>
      </c>
    </row>
    <row r="675" spans="1:19" x14ac:dyDescent="0.35">
      <c r="A675" s="2">
        <v>44520</v>
      </c>
      <c r="B675" s="2" t="str">
        <f>TEXT(Bike_Sales[[#This Row],[Date]],"mmmm")</f>
        <v>November</v>
      </c>
      <c r="C675" s="19">
        <f>MONTH(Bike_Sales[[#This Row],[Date]])</f>
        <v>11</v>
      </c>
      <c r="D675" s="2" t="str">
        <f>TEXT(Bike_Sales[[#This Row],[Date]],"dddd")</f>
        <v>Saturday</v>
      </c>
      <c r="E675" s="3">
        <v>48</v>
      </c>
      <c r="F675" s="3" t="s">
        <v>126</v>
      </c>
      <c r="G675" s="3" t="s">
        <v>9</v>
      </c>
      <c r="H675" s="3" t="s">
        <v>37</v>
      </c>
      <c r="I675" s="3" t="s">
        <v>16</v>
      </c>
      <c r="J675" s="3" t="s">
        <v>103</v>
      </c>
      <c r="K675" s="3" t="s">
        <v>50</v>
      </c>
      <c r="L675" s="4">
        <v>3</v>
      </c>
      <c r="M675" s="3">
        <v>550</v>
      </c>
      <c r="N675" s="3">
        <v>850</v>
      </c>
      <c r="O675" s="15">
        <f>Bike_Sales[[#This Row],[Order_Quantity]]*Bike_Sales[[#This Row],[Unit_Price]]</f>
        <v>2550</v>
      </c>
      <c r="P675" s="15">
        <f>Bike_Sales[[#This Row],[Order_Quantity]]*Bike_Sales[[#This Row],[Unit_Cost]]</f>
        <v>1650</v>
      </c>
      <c r="Q675" s="15">
        <f>Bike_Sales[[#This Row],[Total Sales]]-Bike_Sales[[#This Row],[Total Cost]]</f>
        <v>900</v>
      </c>
      <c r="R675" s="17">
        <f>Bike_Sales[[#This Row],[Profit]]/Bike_Sales[[#This Row],[Total Sales]]</f>
        <v>0.35294117647058826</v>
      </c>
      <c r="S675" s="16" t="str">
        <f t="shared" si="10"/>
        <v>45-54</v>
      </c>
    </row>
    <row r="676" spans="1:19" x14ac:dyDescent="0.35">
      <c r="A676" s="2">
        <v>44522</v>
      </c>
      <c r="B676" s="2" t="str">
        <f>TEXT(Bike_Sales[[#This Row],[Date]],"mmmm")</f>
        <v>November</v>
      </c>
      <c r="C676" s="19">
        <f>MONTH(Bike_Sales[[#This Row],[Date]])</f>
        <v>11</v>
      </c>
      <c r="D676" s="2" t="str">
        <f>TEXT(Bike_Sales[[#This Row],[Date]],"dddd")</f>
        <v>Monday</v>
      </c>
      <c r="E676" s="3">
        <v>48</v>
      </c>
      <c r="F676" s="3" t="s">
        <v>126</v>
      </c>
      <c r="G676" s="3" t="s">
        <v>9</v>
      </c>
      <c r="H676" s="3" t="s">
        <v>10</v>
      </c>
      <c r="I676" s="3" t="s">
        <v>16</v>
      </c>
      <c r="J676" s="3" t="s">
        <v>101</v>
      </c>
      <c r="K676" s="3" t="s">
        <v>49</v>
      </c>
      <c r="L676" s="4">
        <v>2</v>
      </c>
      <c r="M676" s="3">
        <v>550</v>
      </c>
      <c r="N676" s="3">
        <v>850</v>
      </c>
      <c r="O676" s="15">
        <f>Bike_Sales[[#This Row],[Order_Quantity]]*Bike_Sales[[#This Row],[Unit_Price]]</f>
        <v>1700</v>
      </c>
      <c r="P676" s="15">
        <f>Bike_Sales[[#This Row],[Order_Quantity]]*Bike_Sales[[#This Row],[Unit_Cost]]</f>
        <v>1100</v>
      </c>
      <c r="Q676" s="15">
        <f>Bike_Sales[[#This Row],[Total Sales]]-Bike_Sales[[#This Row],[Total Cost]]</f>
        <v>600</v>
      </c>
      <c r="R676" s="17">
        <f>Bike_Sales[[#This Row],[Profit]]/Bike_Sales[[#This Row],[Total Sales]]</f>
        <v>0.35294117647058826</v>
      </c>
      <c r="S676" s="16" t="str">
        <f t="shared" si="10"/>
        <v>45-54</v>
      </c>
    </row>
    <row r="677" spans="1:19" x14ac:dyDescent="0.35">
      <c r="A677" s="2">
        <v>44524</v>
      </c>
      <c r="B677" s="2" t="str">
        <f>TEXT(Bike_Sales[[#This Row],[Date]],"mmmm")</f>
        <v>November</v>
      </c>
      <c r="C677" s="19">
        <f>MONTH(Bike_Sales[[#This Row],[Date]])</f>
        <v>11</v>
      </c>
      <c r="D677" s="2" t="str">
        <f>TEXT(Bike_Sales[[#This Row],[Date]],"dddd")</f>
        <v>Wednesday</v>
      </c>
      <c r="E677" s="3">
        <v>48</v>
      </c>
      <c r="F677" s="3" t="s">
        <v>126</v>
      </c>
      <c r="G677" s="3" t="s">
        <v>9</v>
      </c>
      <c r="H677" s="3" t="s">
        <v>10</v>
      </c>
      <c r="I677" s="3" t="s">
        <v>16</v>
      </c>
      <c r="J677" s="3" t="s">
        <v>101</v>
      </c>
      <c r="K677" s="3" t="s">
        <v>49</v>
      </c>
      <c r="L677" s="4">
        <v>1</v>
      </c>
      <c r="M677" s="3">
        <v>550</v>
      </c>
      <c r="N677" s="3">
        <v>850</v>
      </c>
      <c r="O677" s="15">
        <f>Bike_Sales[[#This Row],[Order_Quantity]]*Bike_Sales[[#This Row],[Unit_Price]]</f>
        <v>850</v>
      </c>
      <c r="P677" s="15">
        <f>Bike_Sales[[#This Row],[Order_Quantity]]*Bike_Sales[[#This Row],[Unit_Cost]]</f>
        <v>550</v>
      </c>
      <c r="Q677" s="15">
        <f>Bike_Sales[[#This Row],[Total Sales]]-Bike_Sales[[#This Row],[Total Cost]]</f>
        <v>300</v>
      </c>
      <c r="R677" s="17">
        <f>Bike_Sales[[#This Row],[Profit]]/Bike_Sales[[#This Row],[Total Sales]]</f>
        <v>0.35294117647058826</v>
      </c>
      <c r="S677" s="16" t="str">
        <f t="shared" si="10"/>
        <v>45-54</v>
      </c>
    </row>
    <row r="678" spans="1:19" x14ac:dyDescent="0.35">
      <c r="A678" s="2">
        <v>44535</v>
      </c>
      <c r="B678" s="2" t="str">
        <f>TEXT(Bike_Sales[[#This Row],[Date]],"mmmm")</f>
        <v>December</v>
      </c>
      <c r="C678" s="19">
        <f>MONTH(Bike_Sales[[#This Row],[Date]])</f>
        <v>12</v>
      </c>
      <c r="D678" s="2" t="str">
        <f>TEXT(Bike_Sales[[#This Row],[Date]],"dddd")</f>
        <v>Sunday</v>
      </c>
      <c r="E678" s="3">
        <v>48</v>
      </c>
      <c r="F678" s="3" t="s">
        <v>126</v>
      </c>
      <c r="G678" s="3" t="s">
        <v>13</v>
      </c>
      <c r="H678" s="3" t="s">
        <v>127</v>
      </c>
      <c r="I678" s="3" t="s">
        <v>11</v>
      </c>
      <c r="J678" s="3" t="s">
        <v>101</v>
      </c>
      <c r="K678" s="3" t="s">
        <v>32</v>
      </c>
      <c r="L678" s="4">
        <v>2</v>
      </c>
      <c r="M678" s="3">
        <v>700</v>
      </c>
      <c r="N678" s="3">
        <v>1100</v>
      </c>
      <c r="O678" s="15">
        <f>Bike_Sales[[#This Row],[Order_Quantity]]*Bike_Sales[[#This Row],[Unit_Price]]</f>
        <v>2200</v>
      </c>
      <c r="P678" s="15">
        <f>Bike_Sales[[#This Row],[Order_Quantity]]*Bike_Sales[[#This Row],[Unit_Cost]]</f>
        <v>1400</v>
      </c>
      <c r="Q678" s="15">
        <f>Bike_Sales[[#This Row],[Total Sales]]-Bike_Sales[[#This Row],[Total Cost]]</f>
        <v>800</v>
      </c>
      <c r="R678" s="17">
        <f>Bike_Sales[[#This Row],[Profit]]/Bike_Sales[[#This Row],[Total Sales]]</f>
        <v>0.36363636363636365</v>
      </c>
      <c r="S678" s="16" t="str">
        <f t="shared" si="10"/>
        <v>45-54</v>
      </c>
    </row>
    <row r="679" spans="1:19" x14ac:dyDescent="0.35">
      <c r="A679" s="2">
        <v>44546</v>
      </c>
      <c r="B679" s="2" t="str">
        <f>TEXT(Bike_Sales[[#This Row],[Date]],"mmmm")</f>
        <v>December</v>
      </c>
      <c r="C679" s="19">
        <f>MONTH(Bike_Sales[[#This Row],[Date]])</f>
        <v>12</v>
      </c>
      <c r="D679" s="2" t="str">
        <f>TEXT(Bike_Sales[[#This Row],[Date]],"dddd")</f>
        <v>Thursday</v>
      </c>
      <c r="E679" s="3">
        <v>48</v>
      </c>
      <c r="F679" s="3" t="s">
        <v>135</v>
      </c>
      <c r="G679" s="3" t="s">
        <v>13</v>
      </c>
      <c r="H679" s="3" t="s">
        <v>127</v>
      </c>
      <c r="I679" s="3" t="s">
        <v>11</v>
      </c>
      <c r="J679" s="3" t="s">
        <v>101</v>
      </c>
      <c r="K679" s="3" t="s">
        <v>60</v>
      </c>
      <c r="L679" s="4">
        <v>4</v>
      </c>
      <c r="M679" s="3">
        <v>700</v>
      </c>
      <c r="N679" s="3">
        <v>1100</v>
      </c>
      <c r="O679" s="15">
        <f>Bike_Sales[[#This Row],[Order_Quantity]]*Bike_Sales[[#This Row],[Unit_Price]]</f>
        <v>4400</v>
      </c>
      <c r="P679" s="15">
        <f>Bike_Sales[[#This Row],[Order_Quantity]]*Bike_Sales[[#This Row],[Unit_Cost]]</f>
        <v>2800</v>
      </c>
      <c r="Q679" s="15">
        <f>Bike_Sales[[#This Row],[Total Sales]]-Bike_Sales[[#This Row],[Total Cost]]</f>
        <v>1600</v>
      </c>
      <c r="R679" s="17">
        <f>Bike_Sales[[#This Row],[Profit]]/Bike_Sales[[#This Row],[Total Sales]]</f>
        <v>0.36363636363636365</v>
      </c>
      <c r="S679" s="16" t="str">
        <f t="shared" si="10"/>
        <v>45-54</v>
      </c>
    </row>
    <row r="680" spans="1:19" x14ac:dyDescent="0.35">
      <c r="A680" s="2">
        <v>44518</v>
      </c>
      <c r="B680" s="2" t="str">
        <f>TEXT(Bike_Sales[[#This Row],[Date]],"mmmm")</f>
        <v>November</v>
      </c>
      <c r="C680" s="19">
        <f>MONTH(Bike_Sales[[#This Row],[Date]])</f>
        <v>11</v>
      </c>
      <c r="D680" s="2" t="str">
        <f>TEXT(Bike_Sales[[#This Row],[Date]],"dddd")</f>
        <v>Thursday</v>
      </c>
      <c r="E680" s="3">
        <v>49</v>
      </c>
      <c r="F680" s="3" t="s">
        <v>135</v>
      </c>
      <c r="G680" s="3" t="s">
        <v>9</v>
      </c>
      <c r="H680" s="3" t="s">
        <v>10</v>
      </c>
      <c r="I680" s="3" t="s">
        <v>16</v>
      </c>
      <c r="J680" s="3" t="s">
        <v>101</v>
      </c>
      <c r="K680" s="3" t="s">
        <v>49</v>
      </c>
      <c r="L680" s="4">
        <v>1</v>
      </c>
      <c r="M680" s="3">
        <v>550</v>
      </c>
      <c r="N680" s="3">
        <v>850</v>
      </c>
      <c r="O680" s="15">
        <f>Bike_Sales[[#This Row],[Order_Quantity]]*Bike_Sales[[#This Row],[Unit_Price]]</f>
        <v>850</v>
      </c>
      <c r="P680" s="15">
        <f>Bike_Sales[[#This Row],[Order_Quantity]]*Bike_Sales[[#This Row],[Unit_Cost]]</f>
        <v>550</v>
      </c>
      <c r="Q680" s="15">
        <f>Bike_Sales[[#This Row],[Total Sales]]-Bike_Sales[[#This Row],[Total Cost]]</f>
        <v>300</v>
      </c>
      <c r="R680" s="17">
        <f>Bike_Sales[[#This Row],[Profit]]/Bike_Sales[[#This Row],[Total Sales]]</f>
        <v>0.35294117647058826</v>
      </c>
      <c r="S680" s="16" t="str">
        <f t="shared" si="10"/>
        <v>45-54</v>
      </c>
    </row>
    <row r="681" spans="1:19" x14ac:dyDescent="0.35">
      <c r="A681" s="2">
        <v>44527</v>
      </c>
      <c r="B681" s="2" t="str">
        <f>TEXT(Bike_Sales[[#This Row],[Date]],"mmmm")</f>
        <v>November</v>
      </c>
      <c r="C681" s="19">
        <f>MONTH(Bike_Sales[[#This Row],[Date]])</f>
        <v>11</v>
      </c>
      <c r="D681" s="2" t="str">
        <f>TEXT(Bike_Sales[[#This Row],[Date]],"dddd")</f>
        <v>Saturday</v>
      </c>
      <c r="E681" s="3">
        <v>49</v>
      </c>
      <c r="F681" s="3" t="s">
        <v>135</v>
      </c>
      <c r="G681" s="3" t="s">
        <v>13</v>
      </c>
      <c r="H681" s="3" t="s">
        <v>127</v>
      </c>
      <c r="I681" s="3" t="s">
        <v>11</v>
      </c>
      <c r="J681" s="3" t="s">
        <v>102</v>
      </c>
      <c r="K681" s="3" t="s">
        <v>62</v>
      </c>
      <c r="L681" s="4">
        <v>2</v>
      </c>
      <c r="M681" s="3">
        <v>580</v>
      </c>
      <c r="N681" s="3">
        <v>920</v>
      </c>
      <c r="O681" s="15">
        <f>Bike_Sales[[#This Row],[Order_Quantity]]*Bike_Sales[[#This Row],[Unit_Price]]</f>
        <v>1840</v>
      </c>
      <c r="P681" s="15">
        <f>Bike_Sales[[#This Row],[Order_Quantity]]*Bike_Sales[[#This Row],[Unit_Cost]]</f>
        <v>1160</v>
      </c>
      <c r="Q681" s="15">
        <f>Bike_Sales[[#This Row],[Total Sales]]-Bike_Sales[[#This Row],[Total Cost]]</f>
        <v>680</v>
      </c>
      <c r="R681" s="17">
        <f>Bike_Sales[[#This Row],[Profit]]/Bike_Sales[[#This Row],[Total Sales]]</f>
        <v>0.36956521739130432</v>
      </c>
      <c r="S681" s="16" t="str">
        <f t="shared" si="10"/>
        <v>45-54</v>
      </c>
    </row>
    <row r="682" spans="1:19" x14ac:dyDescent="0.35">
      <c r="A682" s="2">
        <v>44537</v>
      </c>
      <c r="B682" s="2" t="str">
        <f>TEXT(Bike_Sales[[#This Row],[Date]],"mmmm")</f>
        <v>December</v>
      </c>
      <c r="C682" s="19">
        <f>MONTH(Bike_Sales[[#This Row],[Date]])</f>
        <v>12</v>
      </c>
      <c r="D682" s="2" t="str">
        <f>TEXT(Bike_Sales[[#This Row],[Date]],"dddd")</f>
        <v>Tuesday</v>
      </c>
      <c r="E682" s="3">
        <v>49</v>
      </c>
      <c r="F682" s="3" t="s">
        <v>126</v>
      </c>
      <c r="G682" s="3" t="s">
        <v>129</v>
      </c>
      <c r="H682" s="3" t="s">
        <v>15</v>
      </c>
      <c r="I682" s="3" t="s">
        <v>11</v>
      </c>
      <c r="J682" s="3" t="s">
        <v>102</v>
      </c>
      <c r="K682" s="3" t="s">
        <v>72</v>
      </c>
      <c r="L682" s="4">
        <v>1</v>
      </c>
      <c r="M682" s="3">
        <v>580</v>
      </c>
      <c r="N682" s="3">
        <v>920</v>
      </c>
      <c r="O682" s="15">
        <f>Bike_Sales[[#This Row],[Order_Quantity]]*Bike_Sales[[#This Row],[Unit_Price]]</f>
        <v>920</v>
      </c>
      <c r="P682" s="15">
        <f>Bike_Sales[[#This Row],[Order_Quantity]]*Bike_Sales[[#This Row],[Unit_Cost]]</f>
        <v>580</v>
      </c>
      <c r="Q682" s="15">
        <f>Bike_Sales[[#This Row],[Total Sales]]-Bike_Sales[[#This Row],[Total Cost]]</f>
        <v>340</v>
      </c>
      <c r="R682" s="17">
        <f>Bike_Sales[[#This Row],[Profit]]/Bike_Sales[[#This Row],[Total Sales]]</f>
        <v>0.36956521739130432</v>
      </c>
      <c r="S682" s="16" t="str">
        <f t="shared" si="10"/>
        <v>45-54</v>
      </c>
    </row>
    <row r="683" spans="1:19" x14ac:dyDescent="0.35">
      <c r="A683" s="2">
        <v>44543</v>
      </c>
      <c r="B683" s="2" t="str">
        <f>TEXT(Bike_Sales[[#This Row],[Date]],"mmmm")</f>
        <v>December</v>
      </c>
      <c r="C683" s="19">
        <f>MONTH(Bike_Sales[[#This Row],[Date]])</f>
        <v>12</v>
      </c>
      <c r="D683" s="2" t="str">
        <f>TEXT(Bike_Sales[[#This Row],[Date]],"dddd")</f>
        <v>Monday</v>
      </c>
      <c r="E683" s="3">
        <v>49</v>
      </c>
      <c r="F683" s="3" t="s">
        <v>126</v>
      </c>
      <c r="G683" s="3" t="s">
        <v>129</v>
      </c>
      <c r="H683" s="3" t="s">
        <v>15</v>
      </c>
      <c r="I683" s="3" t="s">
        <v>16</v>
      </c>
      <c r="J683" s="3" t="s">
        <v>101</v>
      </c>
      <c r="K683" s="3" t="s">
        <v>17</v>
      </c>
      <c r="L683" s="4">
        <v>1</v>
      </c>
      <c r="M683" s="3">
        <v>550</v>
      </c>
      <c r="N683" s="3">
        <v>850</v>
      </c>
      <c r="O683" s="15">
        <f>Bike_Sales[[#This Row],[Order_Quantity]]*Bike_Sales[[#This Row],[Unit_Price]]</f>
        <v>850</v>
      </c>
      <c r="P683" s="15">
        <f>Bike_Sales[[#This Row],[Order_Quantity]]*Bike_Sales[[#This Row],[Unit_Cost]]</f>
        <v>550</v>
      </c>
      <c r="Q683" s="15">
        <f>Bike_Sales[[#This Row],[Total Sales]]-Bike_Sales[[#This Row],[Total Cost]]</f>
        <v>300</v>
      </c>
      <c r="R683" s="17">
        <f>Bike_Sales[[#This Row],[Profit]]/Bike_Sales[[#This Row],[Total Sales]]</f>
        <v>0.35294117647058826</v>
      </c>
      <c r="S683" s="16" t="str">
        <f t="shared" si="10"/>
        <v>45-54</v>
      </c>
    </row>
    <row r="684" spans="1:19" x14ac:dyDescent="0.35">
      <c r="A684" s="2">
        <v>44554</v>
      </c>
      <c r="B684" s="2" t="str">
        <f>TEXT(Bike_Sales[[#This Row],[Date]],"mmmm")</f>
        <v>December</v>
      </c>
      <c r="C684" s="19">
        <f>MONTH(Bike_Sales[[#This Row],[Date]])</f>
        <v>12</v>
      </c>
      <c r="D684" s="2" t="str">
        <f>TEXT(Bike_Sales[[#This Row],[Date]],"dddd")</f>
        <v>Friday</v>
      </c>
      <c r="E684" s="3">
        <v>49</v>
      </c>
      <c r="F684" s="3" t="s">
        <v>135</v>
      </c>
      <c r="G684" s="3" t="s">
        <v>33</v>
      </c>
      <c r="H684" s="3" t="s">
        <v>136</v>
      </c>
      <c r="I684" s="3" t="s">
        <v>11</v>
      </c>
      <c r="J684" s="3" t="s">
        <v>102</v>
      </c>
      <c r="K684" s="3" t="s">
        <v>36</v>
      </c>
      <c r="L684" s="4">
        <v>3</v>
      </c>
      <c r="M684" s="3">
        <v>580</v>
      </c>
      <c r="N684" s="3">
        <v>920</v>
      </c>
      <c r="O684" s="15">
        <f>Bike_Sales[[#This Row],[Order_Quantity]]*Bike_Sales[[#This Row],[Unit_Price]]</f>
        <v>2760</v>
      </c>
      <c r="P684" s="15">
        <f>Bike_Sales[[#This Row],[Order_Quantity]]*Bike_Sales[[#This Row],[Unit_Cost]]</f>
        <v>1740</v>
      </c>
      <c r="Q684" s="15">
        <f>Bike_Sales[[#This Row],[Total Sales]]-Bike_Sales[[#This Row],[Total Cost]]</f>
        <v>1020</v>
      </c>
      <c r="R684" s="17">
        <f>Bike_Sales[[#This Row],[Profit]]/Bike_Sales[[#This Row],[Total Sales]]</f>
        <v>0.36956521739130432</v>
      </c>
      <c r="S684" s="16" t="str">
        <f t="shared" si="10"/>
        <v>45-54</v>
      </c>
    </row>
    <row r="685" spans="1:19" x14ac:dyDescent="0.35">
      <c r="A685" s="2">
        <v>44557</v>
      </c>
      <c r="B685" s="2" t="str">
        <f>TEXT(Bike_Sales[[#This Row],[Date]],"mmmm")</f>
        <v>December</v>
      </c>
      <c r="C685" s="19">
        <f>MONTH(Bike_Sales[[#This Row],[Date]])</f>
        <v>12</v>
      </c>
      <c r="D685" s="2" t="str">
        <f>TEXT(Bike_Sales[[#This Row],[Date]],"dddd")</f>
        <v>Monday</v>
      </c>
      <c r="E685" s="3">
        <v>49</v>
      </c>
      <c r="F685" s="3" t="s">
        <v>126</v>
      </c>
      <c r="G685" s="3" t="s">
        <v>18</v>
      </c>
      <c r="H685" s="3" t="s">
        <v>24</v>
      </c>
      <c r="I685" s="3" t="s">
        <v>11</v>
      </c>
      <c r="J685" s="3" t="s">
        <v>101</v>
      </c>
      <c r="K685" s="3" t="s">
        <v>44</v>
      </c>
      <c r="L685" s="4">
        <v>1</v>
      </c>
      <c r="M685" s="3">
        <v>700</v>
      </c>
      <c r="N685" s="3">
        <v>1100</v>
      </c>
      <c r="O685" s="15">
        <f>Bike_Sales[[#This Row],[Order_Quantity]]*Bike_Sales[[#This Row],[Unit_Price]]</f>
        <v>1100</v>
      </c>
      <c r="P685" s="15">
        <f>Bike_Sales[[#This Row],[Order_Quantity]]*Bike_Sales[[#This Row],[Unit_Cost]]</f>
        <v>700</v>
      </c>
      <c r="Q685" s="15">
        <f>Bike_Sales[[#This Row],[Total Sales]]-Bike_Sales[[#This Row],[Total Cost]]</f>
        <v>400</v>
      </c>
      <c r="R685" s="17">
        <f>Bike_Sales[[#This Row],[Profit]]/Bike_Sales[[#This Row],[Total Sales]]</f>
        <v>0.36363636363636365</v>
      </c>
      <c r="S685" s="16" t="str">
        <f t="shared" si="10"/>
        <v>45-54</v>
      </c>
    </row>
    <row r="686" spans="1:19" x14ac:dyDescent="0.35">
      <c r="A686" s="2">
        <v>44471</v>
      </c>
      <c r="B686" s="2" t="str">
        <f>TEXT(Bike_Sales[[#This Row],[Date]],"mmmm")</f>
        <v>October</v>
      </c>
      <c r="C686" s="19">
        <f>MONTH(Bike_Sales[[#This Row],[Date]])</f>
        <v>10</v>
      </c>
      <c r="D686" s="2" t="str">
        <f>TEXT(Bike_Sales[[#This Row],[Date]],"dddd")</f>
        <v>Saturday</v>
      </c>
      <c r="E686" s="3">
        <v>50</v>
      </c>
      <c r="F686" s="3" t="s">
        <v>126</v>
      </c>
      <c r="G686" s="3" t="s">
        <v>18</v>
      </c>
      <c r="H686" s="3" t="s">
        <v>19</v>
      </c>
      <c r="I686" s="3" t="s">
        <v>16</v>
      </c>
      <c r="J686" s="3" t="s">
        <v>101</v>
      </c>
      <c r="K686" s="3" t="s">
        <v>30</v>
      </c>
      <c r="L686" s="4">
        <v>1</v>
      </c>
      <c r="M686" s="3">
        <v>480</v>
      </c>
      <c r="N686" s="3">
        <v>760</v>
      </c>
      <c r="O686" s="15">
        <f>Bike_Sales[[#This Row],[Order_Quantity]]*Bike_Sales[[#This Row],[Unit_Price]]</f>
        <v>760</v>
      </c>
      <c r="P686" s="15">
        <f>Bike_Sales[[#This Row],[Order_Quantity]]*Bike_Sales[[#This Row],[Unit_Cost]]</f>
        <v>480</v>
      </c>
      <c r="Q686" s="15">
        <f>Bike_Sales[[#This Row],[Total Sales]]-Bike_Sales[[#This Row],[Total Cost]]</f>
        <v>280</v>
      </c>
      <c r="R686" s="17">
        <f>Bike_Sales[[#This Row],[Profit]]/Bike_Sales[[#This Row],[Total Sales]]</f>
        <v>0.36842105263157893</v>
      </c>
      <c r="S686" s="16" t="str">
        <f t="shared" si="10"/>
        <v>45-54</v>
      </c>
    </row>
    <row r="687" spans="1:19" x14ac:dyDescent="0.35">
      <c r="A687" s="2">
        <v>44482</v>
      </c>
      <c r="B687" s="2" t="str">
        <f>TEXT(Bike_Sales[[#This Row],[Date]],"mmmm")</f>
        <v>October</v>
      </c>
      <c r="C687" s="19">
        <f>MONTH(Bike_Sales[[#This Row],[Date]])</f>
        <v>10</v>
      </c>
      <c r="D687" s="2" t="str">
        <f>TEXT(Bike_Sales[[#This Row],[Date]],"dddd")</f>
        <v>Wednesday</v>
      </c>
      <c r="E687" s="3">
        <v>50</v>
      </c>
      <c r="F687" s="3" t="s">
        <v>126</v>
      </c>
      <c r="G687" s="3" t="s">
        <v>18</v>
      </c>
      <c r="H687" s="3" t="s">
        <v>24</v>
      </c>
      <c r="I687" s="3" t="s">
        <v>16</v>
      </c>
      <c r="J687" s="3" t="s">
        <v>101</v>
      </c>
      <c r="K687" s="3" t="s">
        <v>48</v>
      </c>
      <c r="L687" s="4">
        <v>4</v>
      </c>
      <c r="M687" s="3">
        <v>480</v>
      </c>
      <c r="N687" s="3">
        <v>760</v>
      </c>
      <c r="O687" s="15">
        <f>Bike_Sales[[#This Row],[Order_Quantity]]*Bike_Sales[[#This Row],[Unit_Price]]</f>
        <v>3040</v>
      </c>
      <c r="P687" s="15">
        <f>Bike_Sales[[#This Row],[Order_Quantity]]*Bike_Sales[[#This Row],[Unit_Cost]]</f>
        <v>1920</v>
      </c>
      <c r="Q687" s="15">
        <f>Bike_Sales[[#This Row],[Total Sales]]-Bike_Sales[[#This Row],[Total Cost]]</f>
        <v>1120</v>
      </c>
      <c r="R687" s="17">
        <f>Bike_Sales[[#This Row],[Profit]]/Bike_Sales[[#This Row],[Total Sales]]</f>
        <v>0.36842105263157893</v>
      </c>
      <c r="S687" s="16" t="str">
        <f t="shared" si="10"/>
        <v>45-54</v>
      </c>
    </row>
    <row r="688" spans="1:19" x14ac:dyDescent="0.35">
      <c r="A688" s="2">
        <v>44485</v>
      </c>
      <c r="B688" s="2" t="str">
        <f>TEXT(Bike_Sales[[#This Row],[Date]],"mmmm")</f>
        <v>October</v>
      </c>
      <c r="C688" s="19">
        <f>MONTH(Bike_Sales[[#This Row],[Date]])</f>
        <v>10</v>
      </c>
      <c r="D688" s="2" t="str">
        <f>TEXT(Bike_Sales[[#This Row],[Date]],"dddd")</f>
        <v>Saturday</v>
      </c>
      <c r="E688" s="3">
        <v>50</v>
      </c>
      <c r="F688" s="3" t="s">
        <v>126</v>
      </c>
      <c r="G688" s="3" t="s">
        <v>9</v>
      </c>
      <c r="H688" s="3" t="s">
        <v>10</v>
      </c>
      <c r="I688" s="3" t="s">
        <v>16</v>
      </c>
      <c r="J688" s="3" t="s">
        <v>101</v>
      </c>
      <c r="K688" s="3" t="s">
        <v>49</v>
      </c>
      <c r="L688" s="4">
        <v>1</v>
      </c>
      <c r="M688" s="3">
        <v>550</v>
      </c>
      <c r="N688" s="3">
        <v>850</v>
      </c>
      <c r="O688" s="15">
        <f>Bike_Sales[[#This Row],[Order_Quantity]]*Bike_Sales[[#This Row],[Unit_Price]]</f>
        <v>850</v>
      </c>
      <c r="P688" s="15">
        <f>Bike_Sales[[#This Row],[Order_Quantity]]*Bike_Sales[[#This Row],[Unit_Cost]]</f>
        <v>550</v>
      </c>
      <c r="Q688" s="15">
        <f>Bike_Sales[[#This Row],[Total Sales]]-Bike_Sales[[#This Row],[Total Cost]]</f>
        <v>300</v>
      </c>
      <c r="R688" s="17">
        <f>Bike_Sales[[#This Row],[Profit]]/Bike_Sales[[#This Row],[Total Sales]]</f>
        <v>0.35294117647058826</v>
      </c>
      <c r="S688" s="16" t="str">
        <f t="shared" si="10"/>
        <v>45-54</v>
      </c>
    </row>
    <row r="689" spans="1:19" x14ac:dyDescent="0.35">
      <c r="A689" s="2">
        <v>44487</v>
      </c>
      <c r="B689" s="2" t="str">
        <f>TEXT(Bike_Sales[[#This Row],[Date]],"mmmm")</f>
        <v>October</v>
      </c>
      <c r="C689" s="19">
        <f>MONTH(Bike_Sales[[#This Row],[Date]])</f>
        <v>10</v>
      </c>
      <c r="D689" s="2" t="str">
        <f>TEXT(Bike_Sales[[#This Row],[Date]],"dddd")</f>
        <v>Monday</v>
      </c>
      <c r="E689" s="3">
        <v>50</v>
      </c>
      <c r="F689" s="3" t="s">
        <v>126</v>
      </c>
      <c r="G689" s="3" t="s">
        <v>18</v>
      </c>
      <c r="H689" s="3" t="s">
        <v>35</v>
      </c>
      <c r="I689" s="3" t="s">
        <v>16</v>
      </c>
      <c r="J689" s="3" t="s">
        <v>103</v>
      </c>
      <c r="K689" s="3" t="s">
        <v>64</v>
      </c>
      <c r="L689" s="4">
        <v>1</v>
      </c>
      <c r="M689" s="3">
        <v>480</v>
      </c>
      <c r="N689" s="3">
        <v>760</v>
      </c>
      <c r="O689" s="15">
        <f>Bike_Sales[[#This Row],[Order_Quantity]]*Bike_Sales[[#This Row],[Unit_Price]]</f>
        <v>760</v>
      </c>
      <c r="P689" s="15">
        <f>Bike_Sales[[#This Row],[Order_Quantity]]*Bike_Sales[[#This Row],[Unit_Cost]]</f>
        <v>480</v>
      </c>
      <c r="Q689" s="15">
        <f>Bike_Sales[[#This Row],[Total Sales]]-Bike_Sales[[#This Row],[Total Cost]]</f>
        <v>280</v>
      </c>
      <c r="R689" s="17">
        <f>Bike_Sales[[#This Row],[Profit]]/Bike_Sales[[#This Row],[Total Sales]]</f>
        <v>0.36842105263157893</v>
      </c>
      <c r="S689" s="16" t="str">
        <f t="shared" si="10"/>
        <v>45-54</v>
      </c>
    </row>
    <row r="690" spans="1:19" x14ac:dyDescent="0.35">
      <c r="A690" s="2">
        <v>44507</v>
      </c>
      <c r="B690" s="2" t="str">
        <f>TEXT(Bike_Sales[[#This Row],[Date]],"mmmm")</f>
        <v>November</v>
      </c>
      <c r="C690" s="19">
        <f>MONTH(Bike_Sales[[#This Row],[Date]])</f>
        <v>11</v>
      </c>
      <c r="D690" s="2" t="str">
        <f>TEXT(Bike_Sales[[#This Row],[Date]],"dddd")</f>
        <v>Sunday</v>
      </c>
      <c r="E690" s="3">
        <v>50</v>
      </c>
      <c r="F690" s="3" t="s">
        <v>126</v>
      </c>
      <c r="G690" s="3" t="s">
        <v>33</v>
      </c>
      <c r="H690" s="3" t="s">
        <v>136</v>
      </c>
      <c r="I690" s="3" t="s">
        <v>11</v>
      </c>
      <c r="J690" s="3" t="s">
        <v>102</v>
      </c>
      <c r="K690" s="3" t="s">
        <v>23</v>
      </c>
      <c r="L690" s="4">
        <v>2</v>
      </c>
      <c r="M690" s="3">
        <v>620</v>
      </c>
      <c r="N690" s="3">
        <v>980</v>
      </c>
      <c r="O690" s="15">
        <f>Bike_Sales[[#This Row],[Order_Quantity]]*Bike_Sales[[#This Row],[Unit_Price]]</f>
        <v>1960</v>
      </c>
      <c r="P690" s="15">
        <f>Bike_Sales[[#This Row],[Order_Quantity]]*Bike_Sales[[#This Row],[Unit_Cost]]</f>
        <v>1240</v>
      </c>
      <c r="Q690" s="15">
        <f>Bike_Sales[[#This Row],[Total Sales]]-Bike_Sales[[#This Row],[Total Cost]]</f>
        <v>720</v>
      </c>
      <c r="R690" s="17">
        <f>Bike_Sales[[#This Row],[Profit]]/Bike_Sales[[#This Row],[Total Sales]]</f>
        <v>0.36734693877551022</v>
      </c>
      <c r="S690" s="16" t="str">
        <f t="shared" si="10"/>
        <v>45-54</v>
      </c>
    </row>
    <row r="691" spans="1:19" x14ac:dyDescent="0.35">
      <c r="A691" s="2">
        <v>44510</v>
      </c>
      <c r="B691" s="2" t="str">
        <f>TEXT(Bike_Sales[[#This Row],[Date]],"mmmm")</f>
        <v>November</v>
      </c>
      <c r="C691" s="19">
        <f>MONTH(Bike_Sales[[#This Row],[Date]])</f>
        <v>11</v>
      </c>
      <c r="D691" s="2" t="str">
        <f>TEXT(Bike_Sales[[#This Row],[Date]],"dddd")</f>
        <v>Wednesday</v>
      </c>
      <c r="E691" s="3">
        <v>50</v>
      </c>
      <c r="F691" s="3" t="s">
        <v>135</v>
      </c>
      <c r="G691" s="3" t="s">
        <v>9</v>
      </c>
      <c r="H691" s="3" t="s">
        <v>37</v>
      </c>
      <c r="I691" s="3" t="s">
        <v>16</v>
      </c>
      <c r="J691" s="3" t="s">
        <v>101</v>
      </c>
      <c r="K691" s="3" t="s">
        <v>49</v>
      </c>
      <c r="L691" s="4">
        <v>1</v>
      </c>
      <c r="M691" s="3">
        <v>550</v>
      </c>
      <c r="N691" s="3">
        <v>850</v>
      </c>
      <c r="O691" s="15">
        <f>Bike_Sales[[#This Row],[Order_Quantity]]*Bike_Sales[[#This Row],[Unit_Price]]</f>
        <v>850</v>
      </c>
      <c r="P691" s="15">
        <f>Bike_Sales[[#This Row],[Order_Quantity]]*Bike_Sales[[#This Row],[Unit_Cost]]</f>
        <v>550</v>
      </c>
      <c r="Q691" s="15">
        <f>Bike_Sales[[#This Row],[Total Sales]]-Bike_Sales[[#This Row],[Total Cost]]</f>
        <v>300</v>
      </c>
      <c r="R691" s="17">
        <f>Bike_Sales[[#This Row],[Profit]]/Bike_Sales[[#This Row],[Total Sales]]</f>
        <v>0.35294117647058826</v>
      </c>
      <c r="S691" s="16" t="str">
        <f t="shared" si="10"/>
        <v>45-54</v>
      </c>
    </row>
    <row r="692" spans="1:19" x14ac:dyDescent="0.35">
      <c r="A692" s="2">
        <v>44549</v>
      </c>
      <c r="B692" s="2" t="str">
        <f>TEXT(Bike_Sales[[#This Row],[Date]],"mmmm")</f>
        <v>December</v>
      </c>
      <c r="C692" s="19">
        <f>MONTH(Bike_Sales[[#This Row],[Date]])</f>
        <v>12</v>
      </c>
      <c r="D692" s="2" t="str">
        <f>TEXT(Bike_Sales[[#This Row],[Date]],"dddd")</f>
        <v>Sunday</v>
      </c>
      <c r="E692" s="3">
        <v>50</v>
      </c>
      <c r="F692" s="3" t="s">
        <v>135</v>
      </c>
      <c r="G692" s="3" t="s">
        <v>33</v>
      </c>
      <c r="H692" s="3" t="s">
        <v>136</v>
      </c>
      <c r="I692" s="3" t="s">
        <v>11</v>
      </c>
      <c r="J692" s="3" t="s">
        <v>104</v>
      </c>
      <c r="K692" s="3" t="s">
        <v>68</v>
      </c>
      <c r="L692" s="4">
        <v>3</v>
      </c>
      <c r="M692" s="3">
        <v>500</v>
      </c>
      <c r="N692" s="3">
        <v>800</v>
      </c>
      <c r="O692" s="15">
        <f>Bike_Sales[[#This Row],[Order_Quantity]]*Bike_Sales[[#This Row],[Unit_Price]]</f>
        <v>2400</v>
      </c>
      <c r="P692" s="15">
        <f>Bike_Sales[[#This Row],[Order_Quantity]]*Bike_Sales[[#This Row],[Unit_Cost]]</f>
        <v>1500</v>
      </c>
      <c r="Q692" s="15">
        <f>Bike_Sales[[#This Row],[Total Sales]]-Bike_Sales[[#This Row],[Total Cost]]</f>
        <v>900</v>
      </c>
      <c r="R692" s="17">
        <f>Bike_Sales[[#This Row],[Profit]]/Bike_Sales[[#This Row],[Total Sales]]</f>
        <v>0.375</v>
      </c>
      <c r="S692" s="16" t="str">
        <f t="shared" si="10"/>
        <v>45-54</v>
      </c>
    </row>
    <row r="693" spans="1:19" x14ac:dyDescent="0.35">
      <c r="A693" s="2">
        <v>44555</v>
      </c>
      <c r="B693" s="2" t="str">
        <f>TEXT(Bike_Sales[[#This Row],[Date]],"mmmm")</f>
        <v>December</v>
      </c>
      <c r="C693" s="19">
        <f>MONTH(Bike_Sales[[#This Row],[Date]])</f>
        <v>12</v>
      </c>
      <c r="D693" s="2" t="str">
        <f>TEXT(Bike_Sales[[#This Row],[Date]],"dddd")</f>
        <v>Saturday</v>
      </c>
      <c r="E693" s="3">
        <v>50</v>
      </c>
      <c r="F693" s="3" t="s">
        <v>126</v>
      </c>
      <c r="G693" s="3" t="s">
        <v>18</v>
      </c>
      <c r="H693" s="3" t="s">
        <v>24</v>
      </c>
      <c r="I693" s="3" t="s">
        <v>11</v>
      </c>
      <c r="J693" s="3" t="s">
        <v>101</v>
      </c>
      <c r="K693" s="3" t="s">
        <v>44</v>
      </c>
      <c r="L693" s="4">
        <v>1</v>
      </c>
      <c r="M693" s="3">
        <v>700</v>
      </c>
      <c r="N693" s="3">
        <v>1100</v>
      </c>
      <c r="O693" s="15">
        <f>Bike_Sales[[#This Row],[Order_Quantity]]*Bike_Sales[[#This Row],[Unit_Price]]</f>
        <v>1100</v>
      </c>
      <c r="P693" s="15">
        <f>Bike_Sales[[#This Row],[Order_Quantity]]*Bike_Sales[[#This Row],[Unit_Cost]]</f>
        <v>700</v>
      </c>
      <c r="Q693" s="15">
        <f>Bike_Sales[[#This Row],[Total Sales]]-Bike_Sales[[#This Row],[Total Cost]]</f>
        <v>400</v>
      </c>
      <c r="R693" s="17">
        <f>Bike_Sales[[#This Row],[Profit]]/Bike_Sales[[#This Row],[Total Sales]]</f>
        <v>0.36363636363636365</v>
      </c>
      <c r="S693" s="16" t="str">
        <f t="shared" si="10"/>
        <v>45-54</v>
      </c>
    </row>
    <row r="694" spans="1:19" x14ac:dyDescent="0.35">
      <c r="A694" s="2">
        <v>44472</v>
      </c>
      <c r="B694" s="2" t="str">
        <f>TEXT(Bike_Sales[[#This Row],[Date]],"mmmm")</f>
        <v>October</v>
      </c>
      <c r="C694" s="19">
        <f>MONTH(Bike_Sales[[#This Row],[Date]])</f>
        <v>10</v>
      </c>
      <c r="D694" s="2" t="str">
        <f>TEXT(Bike_Sales[[#This Row],[Date]],"dddd")</f>
        <v>Sunday</v>
      </c>
      <c r="E694" s="3">
        <v>51</v>
      </c>
      <c r="F694" s="3" t="s">
        <v>126</v>
      </c>
      <c r="G694" s="3" t="s">
        <v>9</v>
      </c>
      <c r="H694" s="3" t="s">
        <v>37</v>
      </c>
      <c r="I694" s="3" t="s">
        <v>16</v>
      </c>
      <c r="J694" s="3" t="s">
        <v>101</v>
      </c>
      <c r="K694" s="3" t="s">
        <v>38</v>
      </c>
      <c r="L694" s="4">
        <v>1</v>
      </c>
      <c r="M694" s="3">
        <v>400</v>
      </c>
      <c r="N694" s="3">
        <v>650</v>
      </c>
      <c r="O694" s="15">
        <f>Bike_Sales[[#This Row],[Order_Quantity]]*Bike_Sales[[#This Row],[Unit_Price]]</f>
        <v>650</v>
      </c>
      <c r="P694" s="15">
        <f>Bike_Sales[[#This Row],[Order_Quantity]]*Bike_Sales[[#This Row],[Unit_Cost]]</f>
        <v>400</v>
      </c>
      <c r="Q694" s="15">
        <f>Bike_Sales[[#This Row],[Total Sales]]-Bike_Sales[[#This Row],[Total Cost]]</f>
        <v>250</v>
      </c>
      <c r="R694" s="17">
        <f>Bike_Sales[[#This Row],[Profit]]/Bike_Sales[[#This Row],[Total Sales]]</f>
        <v>0.38461538461538464</v>
      </c>
      <c r="S694" s="16" t="str">
        <f t="shared" si="10"/>
        <v>45-54</v>
      </c>
    </row>
    <row r="695" spans="1:19" x14ac:dyDescent="0.35">
      <c r="A695" s="2">
        <v>44487</v>
      </c>
      <c r="B695" s="2" t="str">
        <f>TEXT(Bike_Sales[[#This Row],[Date]],"mmmm")</f>
        <v>October</v>
      </c>
      <c r="C695" s="19">
        <f>MONTH(Bike_Sales[[#This Row],[Date]])</f>
        <v>10</v>
      </c>
      <c r="D695" s="2" t="str">
        <f>TEXT(Bike_Sales[[#This Row],[Date]],"dddd")</f>
        <v>Monday</v>
      </c>
      <c r="E695" s="3">
        <v>51</v>
      </c>
      <c r="F695" s="3" t="s">
        <v>126</v>
      </c>
      <c r="G695" s="3" t="s">
        <v>9</v>
      </c>
      <c r="H695" s="3" t="s">
        <v>69</v>
      </c>
      <c r="I695" s="3" t="s">
        <v>16</v>
      </c>
      <c r="J695" s="3" t="s">
        <v>101</v>
      </c>
      <c r="K695" s="3" t="s">
        <v>17</v>
      </c>
      <c r="L695" s="4">
        <v>4</v>
      </c>
      <c r="M695" s="3">
        <v>550</v>
      </c>
      <c r="N695" s="3">
        <v>850</v>
      </c>
      <c r="O695" s="15">
        <f>Bike_Sales[[#This Row],[Order_Quantity]]*Bike_Sales[[#This Row],[Unit_Price]]</f>
        <v>3400</v>
      </c>
      <c r="P695" s="15">
        <f>Bike_Sales[[#This Row],[Order_Quantity]]*Bike_Sales[[#This Row],[Unit_Cost]]</f>
        <v>2200</v>
      </c>
      <c r="Q695" s="15">
        <f>Bike_Sales[[#This Row],[Total Sales]]-Bike_Sales[[#This Row],[Total Cost]]</f>
        <v>1200</v>
      </c>
      <c r="R695" s="17">
        <f>Bike_Sales[[#This Row],[Profit]]/Bike_Sales[[#This Row],[Total Sales]]</f>
        <v>0.35294117647058826</v>
      </c>
      <c r="S695" s="16" t="str">
        <f t="shared" si="10"/>
        <v>45-54</v>
      </c>
    </row>
    <row r="696" spans="1:19" x14ac:dyDescent="0.35">
      <c r="A696" s="2">
        <v>44488</v>
      </c>
      <c r="B696" s="2" t="str">
        <f>TEXT(Bike_Sales[[#This Row],[Date]],"mmmm")</f>
        <v>October</v>
      </c>
      <c r="C696" s="19">
        <f>MONTH(Bike_Sales[[#This Row],[Date]])</f>
        <v>10</v>
      </c>
      <c r="D696" s="2" t="str">
        <f>TEXT(Bike_Sales[[#This Row],[Date]],"dddd")</f>
        <v>Tuesday</v>
      </c>
      <c r="E696" s="3">
        <v>51</v>
      </c>
      <c r="F696" s="3" t="s">
        <v>135</v>
      </c>
      <c r="G696" s="3" t="s">
        <v>18</v>
      </c>
      <c r="H696" s="3" t="s">
        <v>24</v>
      </c>
      <c r="I696" s="3" t="s">
        <v>16</v>
      </c>
      <c r="J696" s="3" t="s">
        <v>103</v>
      </c>
      <c r="K696" s="3" t="s">
        <v>45</v>
      </c>
      <c r="L696" s="4">
        <v>1</v>
      </c>
      <c r="M696" s="3">
        <v>550</v>
      </c>
      <c r="N696" s="3">
        <v>850</v>
      </c>
      <c r="O696" s="15">
        <f>Bike_Sales[[#This Row],[Order_Quantity]]*Bike_Sales[[#This Row],[Unit_Price]]</f>
        <v>850</v>
      </c>
      <c r="P696" s="15">
        <f>Bike_Sales[[#This Row],[Order_Quantity]]*Bike_Sales[[#This Row],[Unit_Cost]]</f>
        <v>550</v>
      </c>
      <c r="Q696" s="15">
        <f>Bike_Sales[[#This Row],[Total Sales]]-Bike_Sales[[#This Row],[Total Cost]]</f>
        <v>300</v>
      </c>
      <c r="R696" s="17">
        <f>Bike_Sales[[#This Row],[Profit]]/Bike_Sales[[#This Row],[Total Sales]]</f>
        <v>0.35294117647058826</v>
      </c>
      <c r="S696" s="16" t="str">
        <f t="shared" si="10"/>
        <v>45-54</v>
      </c>
    </row>
    <row r="697" spans="1:19" x14ac:dyDescent="0.35">
      <c r="A697" s="2">
        <v>44495</v>
      </c>
      <c r="B697" s="2" t="str">
        <f>TEXT(Bike_Sales[[#This Row],[Date]],"mmmm")</f>
        <v>October</v>
      </c>
      <c r="C697" s="19">
        <f>MONTH(Bike_Sales[[#This Row],[Date]])</f>
        <v>10</v>
      </c>
      <c r="D697" s="2" t="str">
        <f>TEXT(Bike_Sales[[#This Row],[Date]],"dddd")</f>
        <v>Tuesday</v>
      </c>
      <c r="E697" s="3">
        <v>51</v>
      </c>
      <c r="F697" s="3" t="s">
        <v>135</v>
      </c>
      <c r="G697" s="3" t="s">
        <v>9</v>
      </c>
      <c r="H697" s="3" t="s">
        <v>10</v>
      </c>
      <c r="I697" s="3" t="s">
        <v>16</v>
      </c>
      <c r="J697" s="3" t="s">
        <v>103</v>
      </c>
      <c r="K697" s="3" t="s">
        <v>83</v>
      </c>
      <c r="L697" s="4">
        <v>1</v>
      </c>
      <c r="M697" s="3">
        <v>450</v>
      </c>
      <c r="N697" s="3">
        <v>720</v>
      </c>
      <c r="O697" s="15">
        <f>Bike_Sales[[#This Row],[Order_Quantity]]*Bike_Sales[[#This Row],[Unit_Price]]</f>
        <v>720</v>
      </c>
      <c r="P697" s="15">
        <f>Bike_Sales[[#This Row],[Order_Quantity]]*Bike_Sales[[#This Row],[Unit_Cost]]</f>
        <v>450</v>
      </c>
      <c r="Q697" s="15">
        <f>Bike_Sales[[#This Row],[Total Sales]]-Bike_Sales[[#This Row],[Total Cost]]</f>
        <v>270</v>
      </c>
      <c r="R697" s="17">
        <f>Bike_Sales[[#This Row],[Profit]]/Bike_Sales[[#This Row],[Total Sales]]</f>
        <v>0.375</v>
      </c>
      <c r="S697" s="16" t="str">
        <f t="shared" si="10"/>
        <v>45-54</v>
      </c>
    </row>
    <row r="698" spans="1:19" x14ac:dyDescent="0.35">
      <c r="A698" s="2">
        <v>44499</v>
      </c>
      <c r="B698" s="2" t="str">
        <f>TEXT(Bike_Sales[[#This Row],[Date]],"mmmm")</f>
        <v>October</v>
      </c>
      <c r="C698" s="19">
        <f>MONTH(Bike_Sales[[#This Row],[Date]])</f>
        <v>10</v>
      </c>
      <c r="D698" s="2" t="str">
        <f>TEXT(Bike_Sales[[#This Row],[Date]],"dddd")</f>
        <v>Saturday</v>
      </c>
      <c r="E698" s="3">
        <v>51</v>
      </c>
      <c r="F698" s="3" t="s">
        <v>126</v>
      </c>
      <c r="G698" s="3" t="s">
        <v>9</v>
      </c>
      <c r="H698" s="3" t="s">
        <v>10</v>
      </c>
      <c r="I698" s="3" t="s">
        <v>16</v>
      </c>
      <c r="J698" s="3" t="s">
        <v>103</v>
      </c>
      <c r="K698" s="3" t="s">
        <v>55</v>
      </c>
      <c r="L698" s="4">
        <v>4</v>
      </c>
      <c r="M698" s="3">
        <v>450</v>
      </c>
      <c r="N698" s="3">
        <v>720</v>
      </c>
      <c r="O698" s="15">
        <f>Bike_Sales[[#This Row],[Order_Quantity]]*Bike_Sales[[#This Row],[Unit_Price]]</f>
        <v>2880</v>
      </c>
      <c r="P698" s="15">
        <f>Bike_Sales[[#This Row],[Order_Quantity]]*Bike_Sales[[#This Row],[Unit_Cost]]</f>
        <v>1800</v>
      </c>
      <c r="Q698" s="15">
        <f>Bike_Sales[[#This Row],[Total Sales]]-Bike_Sales[[#This Row],[Total Cost]]</f>
        <v>1080</v>
      </c>
      <c r="R698" s="17">
        <f>Bike_Sales[[#This Row],[Profit]]/Bike_Sales[[#This Row],[Total Sales]]</f>
        <v>0.375</v>
      </c>
      <c r="S698" s="16" t="str">
        <f t="shared" si="10"/>
        <v>45-54</v>
      </c>
    </row>
    <row r="699" spans="1:19" x14ac:dyDescent="0.35">
      <c r="A699" s="2">
        <v>44550</v>
      </c>
      <c r="B699" s="2" t="str">
        <f>TEXT(Bike_Sales[[#This Row],[Date]],"mmmm")</f>
        <v>December</v>
      </c>
      <c r="C699" s="19">
        <f>MONTH(Bike_Sales[[#This Row],[Date]])</f>
        <v>12</v>
      </c>
      <c r="D699" s="2" t="str">
        <f>TEXT(Bike_Sales[[#This Row],[Date]],"dddd")</f>
        <v>Monday</v>
      </c>
      <c r="E699" s="3">
        <v>51</v>
      </c>
      <c r="F699" s="3" t="s">
        <v>135</v>
      </c>
      <c r="G699" s="3" t="s">
        <v>18</v>
      </c>
      <c r="H699" s="3" t="s">
        <v>24</v>
      </c>
      <c r="I699" s="3" t="s">
        <v>11</v>
      </c>
      <c r="J699" s="3" t="s">
        <v>104</v>
      </c>
      <c r="K699" s="3" t="s">
        <v>20</v>
      </c>
      <c r="L699" s="4">
        <v>1</v>
      </c>
      <c r="M699" s="3">
        <v>530</v>
      </c>
      <c r="N699" s="3">
        <v>840</v>
      </c>
      <c r="O699" s="15">
        <f>Bike_Sales[[#This Row],[Order_Quantity]]*Bike_Sales[[#This Row],[Unit_Price]]</f>
        <v>840</v>
      </c>
      <c r="P699" s="15">
        <f>Bike_Sales[[#This Row],[Order_Quantity]]*Bike_Sales[[#This Row],[Unit_Cost]]</f>
        <v>530</v>
      </c>
      <c r="Q699" s="15">
        <f>Bike_Sales[[#This Row],[Total Sales]]-Bike_Sales[[#This Row],[Total Cost]]</f>
        <v>310</v>
      </c>
      <c r="R699" s="17">
        <f>Bike_Sales[[#This Row],[Profit]]/Bike_Sales[[#This Row],[Total Sales]]</f>
        <v>0.36904761904761907</v>
      </c>
      <c r="S699" s="16" t="str">
        <f t="shared" si="10"/>
        <v>45-54</v>
      </c>
    </row>
    <row r="700" spans="1:19" x14ac:dyDescent="0.35">
      <c r="A700" s="2">
        <v>44472</v>
      </c>
      <c r="B700" s="2" t="str">
        <f>TEXT(Bike_Sales[[#This Row],[Date]],"mmmm")</f>
        <v>October</v>
      </c>
      <c r="C700" s="19">
        <f>MONTH(Bike_Sales[[#This Row],[Date]])</f>
        <v>10</v>
      </c>
      <c r="D700" s="2" t="str">
        <f>TEXT(Bike_Sales[[#This Row],[Date]],"dddd")</f>
        <v>Sunday</v>
      </c>
      <c r="E700" s="3">
        <v>52</v>
      </c>
      <c r="F700" s="3" t="s">
        <v>126</v>
      </c>
      <c r="G700" s="3" t="s">
        <v>18</v>
      </c>
      <c r="H700" s="3" t="s">
        <v>24</v>
      </c>
      <c r="I700" s="3" t="s">
        <v>16</v>
      </c>
      <c r="J700" s="3" t="s">
        <v>103</v>
      </c>
      <c r="K700" s="3" t="s">
        <v>22</v>
      </c>
      <c r="L700" s="4">
        <v>1</v>
      </c>
      <c r="M700" s="3">
        <v>550</v>
      </c>
      <c r="N700" s="3">
        <v>850</v>
      </c>
      <c r="O700" s="15">
        <f>Bike_Sales[[#This Row],[Order_Quantity]]*Bike_Sales[[#This Row],[Unit_Price]]</f>
        <v>850</v>
      </c>
      <c r="P700" s="15">
        <f>Bike_Sales[[#This Row],[Order_Quantity]]*Bike_Sales[[#This Row],[Unit_Cost]]</f>
        <v>550</v>
      </c>
      <c r="Q700" s="15">
        <f>Bike_Sales[[#This Row],[Total Sales]]-Bike_Sales[[#This Row],[Total Cost]]</f>
        <v>300</v>
      </c>
      <c r="R700" s="17">
        <f>Bike_Sales[[#This Row],[Profit]]/Bike_Sales[[#This Row],[Total Sales]]</f>
        <v>0.35294117647058826</v>
      </c>
      <c r="S700" s="16" t="str">
        <f t="shared" si="10"/>
        <v>45-54</v>
      </c>
    </row>
    <row r="701" spans="1:19" x14ac:dyDescent="0.35">
      <c r="A701" s="2">
        <v>44490</v>
      </c>
      <c r="B701" s="2" t="str">
        <f>TEXT(Bike_Sales[[#This Row],[Date]],"mmmm")</f>
        <v>October</v>
      </c>
      <c r="C701" s="19">
        <f>MONTH(Bike_Sales[[#This Row],[Date]])</f>
        <v>10</v>
      </c>
      <c r="D701" s="2" t="str">
        <f>TEXT(Bike_Sales[[#This Row],[Date]],"dddd")</f>
        <v>Thursday</v>
      </c>
      <c r="E701" s="3">
        <v>52</v>
      </c>
      <c r="F701" s="3" t="s">
        <v>126</v>
      </c>
      <c r="G701" s="3" t="s">
        <v>9</v>
      </c>
      <c r="H701" s="3" t="s">
        <v>10</v>
      </c>
      <c r="I701" s="3" t="s">
        <v>16</v>
      </c>
      <c r="J701" s="3" t="s">
        <v>103</v>
      </c>
      <c r="K701" s="3" t="s">
        <v>50</v>
      </c>
      <c r="L701" s="4">
        <v>2</v>
      </c>
      <c r="M701" s="3">
        <v>550</v>
      </c>
      <c r="N701" s="3">
        <v>850</v>
      </c>
      <c r="O701" s="15">
        <f>Bike_Sales[[#This Row],[Order_Quantity]]*Bike_Sales[[#This Row],[Unit_Price]]</f>
        <v>1700</v>
      </c>
      <c r="P701" s="15">
        <f>Bike_Sales[[#This Row],[Order_Quantity]]*Bike_Sales[[#This Row],[Unit_Cost]]</f>
        <v>1100</v>
      </c>
      <c r="Q701" s="15">
        <f>Bike_Sales[[#This Row],[Total Sales]]-Bike_Sales[[#This Row],[Total Cost]]</f>
        <v>600</v>
      </c>
      <c r="R701" s="17">
        <f>Bike_Sales[[#This Row],[Profit]]/Bike_Sales[[#This Row],[Total Sales]]</f>
        <v>0.35294117647058826</v>
      </c>
      <c r="S701" s="16" t="str">
        <f t="shared" si="10"/>
        <v>45-54</v>
      </c>
    </row>
    <row r="702" spans="1:19" x14ac:dyDescent="0.35">
      <c r="A702" s="2">
        <v>44510</v>
      </c>
      <c r="B702" s="2" t="str">
        <f>TEXT(Bike_Sales[[#This Row],[Date]],"mmmm")</f>
        <v>November</v>
      </c>
      <c r="C702" s="19">
        <f>MONTH(Bike_Sales[[#This Row],[Date]])</f>
        <v>11</v>
      </c>
      <c r="D702" s="2" t="str">
        <f>TEXT(Bike_Sales[[#This Row],[Date]],"dddd")</f>
        <v>Wednesday</v>
      </c>
      <c r="E702" s="3">
        <v>52</v>
      </c>
      <c r="F702" s="3" t="s">
        <v>126</v>
      </c>
      <c r="G702" s="3" t="s">
        <v>129</v>
      </c>
      <c r="H702" s="3" t="s">
        <v>15</v>
      </c>
      <c r="I702" s="3" t="s">
        <v>16</v>
      </c>
      <c r="J702" s="3" t="s">
        <v>101</v>
      </c>
      <c r="K702" s="3" t="s">
        <v>25</v>
      </c>
      <c r="L702" s="4">
        <v>3</v>
      </c>
      <c r="M702" s="3">
        <v>550</v>
      </c>
      <c r="N702" s="3">
        <v>850</v>
      </c>
      <c r="O702" s="15">
        <f>Bike_Sales[[#This Row],[Order_Quantity]]*Bike_Sales[[#This Row],[Unit_Price]]</f>
        <v>2550</v>
      </c>
      <c r="P702" s="15">
        <f>Bike_Sales[[#This Row],[Order_Quantity]]*Bike_Sales[[#This Row],[Unit_Cost]]</f>
        <v>1650</v>
      </c>
      <c r="Q702" s="15">
        <f>Bike_Sales[[#This Row],[Total Sales]]-Bike_Sales[[#This Row],[Total Cost]]</f>
        <v>900</v>
      </c>
      <c r="R702" s="17">
        <f>Bike_Sales[[#This Row],[Profit]]/Bike_Sales[[#This Row],[Total Sales]]</f>
        <v>0.35294117647058826</v>
      </c>
      <c r="S702" s="16" t="str">
        <f t="shared" si="10"/>
        <v>45-54</v>
      </c>
    </row>
    <row r="703" spans="1:19" x14ac:dyDescent="0.35">
      <c r="A703" s="2">
        <v>44521</v>
      </c>
      <c r="B703" s="2" t="str">
        <f>TEXT(Bike_Sales[[#This Row],[Date]],"mmmm")</f>
        <v>November</v>
      </c>
      <c r="C703" s="19">
        <f>MONTH(Bike_Sales[[#This Row],[Date]])</f>
        <v>11</v>
      </c>
      <c r="D703" s="2" t="str">
        <f>TEXT(Bike_Sales[[#This Row],[Date]],"dddd")</f>
        <v>Sunday</v>
      </c>
      <c r="E703" s="3">
        <v>52</v>
      </c>
      <c r="F703" s="3" t="s">
        <v>135</v>
      </c>
      <c r="G703" s="3" t="s">
        <v>13</v>
      </c>
      <c r="H703" s="3" t="s">
        <v>127</v>
      </c>
      <c r="I703" s="3" t="s">
        <v>11</v>
      </c>
      <c r="J703" s="3" t="s">
        <v>104</v>
      </c>
      <c r="K703" s="3" t="s">
        <v>77</v>
      </c>
      <c r="L703" s="4">
        <v>2</v>
      </c>
      <c r="M703" s="3">
        <v>500</v>
      </c>
      <c r="N703" s="3">
        <v>800</v>
      </c>
      <c r="O703" s="15">
        <f>Bike_Sales[[#This Row],[Order_Quantity]]*Bike_Sales[[#This Row],[Unit_Price]]</f>
        <v>1600</v>
      </c>
      <c r="P703" s="15">
        <f>Bike_Sales[[#This Row],[Order_Quantity]]*Bike_Sales[[#This Row],[Unit_Cost]]</f>
        <v>1000</v>
      </c>
      <c r="Q703" s="15">
        <f>Bike_Sales[[#This Row],[Total Sales]]-Bike_Sales[[#This Row],[Total Cost]]</f>
        <v>600</v>
      </c>
      <c r="R703" s="17">
        <f>Bike_Sales[[#This Row],[Profit]]/Bike_Sales[[#This Row],[Total Sales]]</f>
        <v>0.375</v>
      </c>
      <c r="S703" s="16" t="str">
        <f t="shared" si="10"/>
        <v>45-54</v>
      </c>
    </row>
    <row r="704" spans="1:19" x14ac:dyDescent="0.35">
      <c r="A704" s="2">
        <v>44542</v>
      </c>
      <c r="B704" s="2" t="str">
        <f>TEXT(Bike_Sales[[#This Row],[Date]],"mmmm")</f>
        <v>December</v>
      </c>
      <c r="C704" s="19">
        <f>MONTH(Bike_Sales[[#This Row],[Date]])</f>
        <v>12</v>
      </c>
      <c r="D704" s="2" t="str">
        <f>TEXT(Bike_Sales[[#This Row],[Date]],"dddd")</f>
        <v>Sunday</v>
      </c>
      <c r="E704" s="3">
        <v>52</v>
      </c>
      <c r="F704" s="3" t="s">
        <v>135</v>
      </c>
      <c r="G704" s="3" t="s">
        <v>129</v>
      </c>
      <c r="H704" s="3" t="s">
        <v>15</v>
      </c>
      <c r="I704" s="3" t="s">
        <v>11</v>
      </c>
      <c r="J704" s="3" t="s">
        <v>101</v>
      </c>
      <c r="K704" s="3" t="s">
        <v>41</v>
      </c>
      <c r="L704" s="4">
        <v>3</v>
      </c>
      <c r="M704" s="3">
        <v>580</v>
      </c>
      <c r="N704" s="3">
        <v>920</v>
      </c>
      <c r="O704" s="15">
        <f>Bike_Sales[[#This Row],[Order_Quantity]]*Bike_Sales[[#This Row],[Unit_Price]]</f>
        <v>2760</v>
      </c>
      <c r="P704" s="15">
        <f>Bike_Sales[[#This Row],[Order_Quantity]]*Bike_Sales[[#This Row],[Unit_Cost]]</f>
        <v>1740</v>
      </c>
      <c r="Q704" s="15">
        <f>Bike_Sales[[#This Row],[Total Sales]]-Bike_Sales[[#This Row],[Total Cost]]</f>
        <v>1020</v>
      </c>
      <c r="R704" s="17">
        <f>Bike_Sales[[#This Row],[Profit]]/Bike_Sales[[#This Row],[Total Sales]]</f>
        <v>0.36956521739130432</v>
      </c>
      <c r="S704" s="16" t="str">
        <f t="shared" si="10"/>
        <v>45-54</v>
      </c>
    </row>
    <row r="705" spans="1:19" x14ac:dyDescent="0.35">
      <c r="A705" s="2">
        <v>44561</v>
      </c>
      <c r="B705" s="2" t="str">
        <f>TEXT(Bike_Sales[[#This Row],[Date]],"mmmm")</f>
        <v>December</v>
      </c>
      <c r="C705" s="19">
        <f>MONTH(Bike_Sales[[#This Row],[Date]])</f>
        <v>12</v>
      </c>
      <c r="D705" s="2" t="str">
        <f>TEXT(Bike_Sales[[#This Row],[Date]],"dddd")</f>
        <v>Friday</v>
      </c>
      <c r="E705" s="3">
        <v>52</v>
      </c>
      <c r="F705" s="3" t="s">
        <v>135</v>
      </c>
      <c r="G705" s="3" t="s">
        <v>129</v>
      </c>
      <c r="H705" s="3" t="s">
        <v>15</v>
      </c>
      <c r="I705" s="3" t="s">
        <v>11</v>
      </c>
      <c r="J705" s="3" t="s">
        <v>101</v>
      </c>
      <c r="K705" s="3" t="s">
        <v>41</v>
      </c>
      <c r="L705" s="4">
        <v>2</v>
      </c>
      <c r="M705" s="3">
        <v>580</v>
      </c>
      <c r="N705" s="3">
        <v>920</v>
      </c>
      <c r="O705" s="15">
        <f>Bike_Sales[[#This Row],[Order_Quantity]]*Bike_Sales[[#This Row],[Unit_Price]]</f>
        <v>1840</v>
      </c>
      <c r="P705" s="15">
        <f>Bike_Sales[[#This Row],[Order_Quantity]]*Bike_Sales[[#This Row],[Unit_Cost]]</f>
        <v>1160</v>
      </c>
      <c r="Q705" s="15">
        <f>Bike_Sales[[#This Row],[Total Sales]]-Bike_Sales[[#This Row],[Total Cost]]</f>
        <v>680</v>
      </c>
      <c r="R705" s="17">
        <f>Bike_Sales[[#This Row],[Profit]]/Bike_Sales[[#This Row],[Total Sales]]</f>
        <v>0.36956521739130432</v>
      </c>
      <c r="S705" s="16" t="str">
        <f t="shared" si="10"/>
        <v>45-54</v>
      </c>
    </row>
    <row r="706" spans="1:19" x14ac:dyDescent="0.35">
      <c r="A706" s="2">
        <v>44470</v>
      </c>
      <c r="B706" s="2" t="str">
        <f>TEXT(Bike_Sales[[#This Row],[Date]],"mmmm")</f>
        <v>October</v>
      </c>
      <c r="C706" s="19">
        <f>MONTH(Bike_Sales[[#This Row],[Date]])</f>
        <v>10</v>
      </c>
      <c r="D706" s="2" t="str">
        <f>TEXT(Bike_Sales[[#This Row],[Date]],"dddd")</f>
        <v>Friday</v>
      </c>
      <c r="E706" s="3">
        <v>53</v>
      </c>
      <c r="F706" s="3" t="s">
        <v>126</v>
      </c>
      <c r="G706" s="3" t="s">
        <v>18</v>
      </c>
      <c r="H706" s="3" t="s">
        <v>24</v>
      </c>
      <c r="I706" s="3" t="s">
        <v>16</v>
      </c>
      <c r="J706" s="3" t="s">
        <v>101</v>
      </c>
      <c r="K706" s="3" t="s">
        <v>25</v>
      </c>
      <c r="L706" s="4">
        <v>1</v>
      </c>
      <c r="M706" s="3">
        <v>550</v>
      </c>
      <c r="N706" s="3">
        <v>850</v>
      </c>
      <c r="O706" s="15">
        <f>Bike_Sales[[#This Row],[Order_Quantity]]*Bike_Sales[[#This Row],[Unit_Price]]</f>
        <v>850</v>
      </c>
      <c r="P706" s="15">
        <f>Bike_Sales[[#This Row],[Order_Quantity]]*Bike_Sales[[#This Row],[Unit_Cost]]</f>
        <v>550</v>
      </c>
      <c r="Q706" s="15">
        <f>Bike_Sales[[#This Row],[Total Sales]]-Bike_Sales[[#This Row],[Total Cost]]</f>
        <v>300</v>
      </c>
      <c r="R706" s="17">
        <f>Bike_Sales[[#This Row],[Profit]]/Bike_Sales[[#This Row],[Total Sales]]</f>
        <v>0.35294117647058826</v>
      </c>
      <c r="S706" s="16" t="str">
        <f t="shared" ref="S706:S753" si="11">IF(E706&lt;25,"Under 25",IF(E706&lt;35,"25-34",IF(E706&lt;45,"35-44",IF(E706&lt;55,"45-54","55+"))))</f>
        <v>45-54</v>
      </c>
    </row>
    <row r="707" spans="1:19" x14ac:dyDescent="0.35">
      <c r="A707" s="2">
        <v>44473</v>
      </c>
      <c r="B707" s="2" t="str">
        <f>TEXT(Bike_Sales[[#This Row],[Date]],"mmmm")</f>
        <v>October</v>
      </c>
      <c r="C707" s="19">
        <f>MONTH(Bike_Sales[[#This Row],[Date]])</f>
        <v>10</v>
      </c>
      <c r="D707" s="2" t="str">
        <f>TEXT(Bike_Sales[[#This Row],[Date]],"dddd")</f>
        <v>Monday</v>
      </c>
      <c r="E707" s="3">
        <v>53</v>
      </c>
      <c r="F707" s="3" t="s">
        <v>126</v>
      </c>
      <c r="G707" s="3" t="s">
        <v>39</v>
      </c>
      <c r="H707" s="3" t="s">
        <v>40</v>
      </c>
      <c r="I707" s="3" t="s">
        <v>11</v>
      </c>
      <c r="J707" s="3" t="s">
        <v>101</v>
      </c>
      <c r="K707" s="3" t="s">
        <v>41</v>
      </c>
      <c r="L707" s="4">
        <v>4</v>
      </c>
      <c r="M707" s="3">
        <v>580</v>
      </c>
      <c r="N707" s="3">
        <v>920</v>
      </c>
      <c r="O707" s="15">
        <f>Bike_Sales[[#This Row],[Order_Quantity]]*Bike_Sales[[#This Row],[Unit_Price]]</f>
        <v>3680</v>
      </c>
      <c r="P707" s="15">
        <f>Bike_Sales[[#This Row],[Order_Quantity]]*Bike_Sales[[#This Row],[Unit_Cost]]</f>
        <v>2320</v>
      </c>
      <c r="Q707" s="15">
        <f>Bike_Sales[[#This Row],[Total Sales]]-Bike_Sales[[#This Row],[Total Cost]]</f>
        <v>1360</v>
      </c>
      <c r="R707" s="17">
        <f>Bike_Sales[[#This Row],[Profit]]/Bike_Sales[[#This Row],[Total Sales]]</f>
        <v>0.36956521739130432</v>
      </c>
      <c r="S707" s="16" t="str">
        <f t="shared" si="11"/>
        <v>45-54</v>
      </c>
    </row>
    <row r="708" spans="1:19" x14ac:dyDescent="0.35">
      <c r="A708" s="2">
        <v>44481</v>
      </c>
      <c r="B708" s="2" t="str">
        <f>TEXT(Bike_Sales[[#This Row],[Date]],"mmmm")</f>
        <v>October</v>
      </c>
      <c r="C708" s="19">
        <f>MONTH(Bike_Sales[[#This Row],[Date]])</f>
        <v>10</v>
      </c>
      <c r="D708" s="2" t="str">
        <f>TEXT(Bike_Sales[[#This Row],[Date]],"dddd")</f>
        <v>Tuesday</v>
      </c>
      <c r="E708" s="3">
        <v>53</v>
      </c>
      <c r="F708" s="3" t="s">
        <v>135</v>
      </c>
      <c r="G708" s="3" t="s">
        <v>129</v>
      </c>
      <c r="H708" s="3" t="s">
        <v>15</v>
      </c>
      <c r="I708" s="3" t="s">
        <v>11</v>
      </c>
      <c r="J708" s="3" t="s">
        <v>101</v>
      </c>
      <c r="K708" s="3" t="s">
        <v>46</v>
      </c>
      <c r="L708" s="4">
        <v>1</v>
      </c>
      <c r="M708" s="3">
        <v>580</v>
      </c>
      <c r="N708" s="3">
        <v>920</v>
      </c>
      <c r="O708" s="15">
        <f>Bike_Sales[[#This Row],[Order_Quantity]]*Bike_Sales[[#This Row],[Unit_Price]]</f>
        <v>920</v>
      </c>
      <c r="P708" s="15">
        <f>Bike_Sales[[#This Row],[Order_Quantity]]*Bike_Sales[[#This Row],[Unit_Cost]]</f>
        <v>580</v>
      </c>
      <c r="Q708" s="15">
        <f>Bike_Sales[[#This Row],[Total Sales]]-Bike_Sales[[#This Row],[Total Cost]]</f>
        <v>340</v>
      </c>
      <c r="R708" s="17">
        <f>Bike_Sales[[#This Row],[Profit]]/Bike_Sales[[#This Row],[Total Sales]]</f>
        <v>0.36956521739130432</v>
      </c>
      <c r="S708" s="16" t="str">
        <f t="shared" si="11"/>
        <v>45-54</v>
      </c>
    </row>
    <row r="709" spans="1:19" x14ac:dyDescent="0.35">
      <c r="A709" s="2">
        <v>44499</v>
      </c>
      <c r="B709" s="2" t="str">
        <f>TEXT(Bike_Sales[[#This Row],[Date]],"mmmm")</f>
        <v>October</v>
      </c>
      <c r="C709" s="19">
        <f>MONTH(Bike_Sales[[#This Row],[Date]])</f>
        <v>10</v>
      </c>
      <c r="D709" s="2" t="str">
        <f>TEXT(Bike_Sales[[#This Row],[Date]],"dddd")</f>
        <v>Saturday</v>
      </c>
      <c r="E709" s="3">
        <v>53</v>
      </c>
      <c r="F709" s="3" t="s">
        <v>126</v>
      </c>
      <c r="G709" s="3" t="s">
        <v>39</v>
      </c>
      <c r="H709" s="3" t="s">
        <v>80</v>
      </c>
      <c r="I709" s="3" t="s">
        <v>11</v>
      </c>
      <c r="J709" s="3" t="s">
        <v>102</v>
      </c>
      <c r="K709" s="3" t="s">
        <v>43</v>
      </c>
      <c r="L709" s="4">
        <v>3</v>
      </c>
      <c r="M709" s="3">
        <v>900</v>
      </c>
      <c r="N709" s="3">
        <v>1400</v>
      </c>
      <c r="O709" s="15">
        <f>Bike_Sales[[#This Row],[Order_Quantity]]*Bike_Sales[[#This Row],[Unit_Price]]</f>
        <v>4200</v>
      </c>
      <c r="P709" s="15">
        <f>Bike_Sales[[#This Row],[Order_Quantity]]*Bike_Sales[[#This Row],[Unit_Cost]]</f>
        <v>2700</v>
      </c>
      <c r="Q709" s="15">
        <f>Bike_Sales[[#This Row],[Total Sales]]-Bike_Sales[[#This Row],[Total Cost]]</f>
        <v>1500</v>
      </c>
      <c r="R709" s="17">
        <f>Bike_Sales[[#This Row],[Profit]]/Bike_Sales[[#This Row],[Total Sales]]</f>
        <v>0.35714285714285715</v>
      </c>
      <c r="S709" s="16" t="str">
        <f t="shared" si="11"/>
        <v>45-54</v>
      </c>
    </row>
    <row r="710" spans="1:19" x14ac:dyDescent="0.35">
      <c r="A710" s="2">
        <v>44521</v>
      </c>
      <c r="B710" s="2" t="str">
        <f>TEXT(Bike_Sales[[#This Row],[Date]],"mmmm")</f>
        <v>November</v>
      </c>
      <c r="C710" s="19">
        <f>MONTH(Bike_Sales[[#This Row],[Date]])</f>
        <v>11</v>
      </c>
      <c r="D710" s="2" t="str">
        <f>TEXT(Bike_Sales[[#This Row],[Date]],"dddd")</f>
        <v>Sunday</v>
      </c>
      <c r="E710" s="3">
        <v>53</v>
      </c>
      <c r="F710" s="3" t="s">
        <v>126</v>
      </c>
      <c r="G710" s="3" t="s">
        <v>129</v>
      </c>
      <c r="H710" s="3" t="s">
        <v>15</v>
      </c>
      <c r="I710" s="3" t="s">
        <v>16</v>
      </c>
      <c r="J710" s="3" t="s">
        <v>103</v>
      </c>
      <c r="K710" s="3" t="s">
        <v>50</v>
      </c>
      <c r="L710" s="4">
        <v>2</v>
      </c>
      <c r="M710" s="3">
        <v>550</v>
      </c>
      <c r="N710" s="3">
        <v>850</v>
      </c>
      <c r="O710" s="15">
        <f>Bike_Sales[[#This Row],[Order_Quantity]]*Bike_Sales[[#This Row],[Unit_Price]]</f>
        <v>1700</v>
      </c>
      <c r="P710" s="15">
        <f>Bike_Sales[[#This Row],[Order_Quantity]]*Bike_Sales[[#This Row],[Unit_Cost]]</f>
        <v>1100</v>
      </c>
      <c r="Q710" s="15">
        <f>Bike_Sales[[#This Row],[Total Sales]]-Bike_Sales[[#This Row],[Total Cost]]</f>
        <v>600</v>
      </c>
      <c r="R710" s="17">
        <f>Bike_Sales[[#This Row],[Profit]]/Bike_Sales[[#This Row],[Total Sales]]</f>
        <v>0.35294117647058826</v>
      </c>
      <c r="S710" s="16" t="str">
        <f t="shared" si="11"/>
        <v>45-54</v>
      </c>
    </row>
    <row r="711" spans="1:19" x14ac:dyDescent="0.35">
      <c r="A711" s="2">
        <v>44473</v>
      </c>
      <c r="B711" s="2" t="str">
        <f>TEXT(Bike_Sales[[#This Row],[Date]],"mmmm")</f>
        <v>October</v>
      </c>
      <c r="C711" s="19">
        <f>MONTH(Bike_Sales[[#This Row],[Date]])</f>
        <v>10</v>
      </c>
      <c r="D711" s="2" t="str">
        <f>TEXT(Bike_Sales[[#This Row],[Date]],"dddd")</f>
        <v>Monday</v>
      </c>
      <c r="E711" s="3">
        <v>54</v>
      </c>
      <c r="F711" s="3" t="s">
        <v>135</v>
      </c>
      <c r="G711" s="3" t="s">
        <v>129</v>
      </c>
      <c r="H711" s="3" t="s">
        <v>15</v>
      </c>
      <c r="I711" s="3" t="s">
        <v>11</v>
      </c>
      <c r="J711" s="3" t="s">
        <v>101</v>
      </c>
      <c r="K711" s="3" t="s">
        <v>44</v>
      </c>
      <c r="L711" s="4">
        <v>1</v>
      </c>
      <c r="M711" s="3">
        <v>700</v>
      </c>
      <c r="N711" s="3">
        <v>1100</v>
      </c>
      <c r="O711" s="15">
        <f>Bike_Sales[[#This Row],[Order_Quantity]]*Bike_Sales[[#This Row],[Unit_Price]]</f>
        <v>1100</v>
      </c>
      <c r="P711" s="15">
        <f>Bike_Sales[[#This Row],[Order_Quantity]]*Bike_Sales[[#This Row],[Unit_Cost]]</f>
        <v>700</v>
      </c>
      <c r="Q711" s="15">
        <f>Bike_Sales[[#This Row],[Total Sales]]-Bike_Sales[[#This Row],[Total Cost]]</f>
        <v>400</v>
      </c>
      <c r="R711" s="17">
        <f>Bike_Sales[[#This Row],[Profit]]/Bike_Sales[[#This Row],[Total Sales]]</f>
        <v>0.36363636363636365</v>
      </c>
      <c r="S711" s="16" t="str">
        <f t="shared" si="11"/>
        <v>45-54</v>
      </c>
    </row>
    <row r="712" spans="1:19" x14ac:dyDescent="0.35">
      <c r="A712" s="2">
        <v>44497</v>
      </c>
      <c r="B712" s="2" t="str">
        <f>TEXT(Bike_Sales[[#This Row],[Date]],"mmmm")</f>
        <v>October</v>
      </c>
      <c r="C712" s="19">
        <f>MONTH(Bike_Sales[[#This Row],[Date]])</f>
        <v>10</v>
      </c>
      <c r="D712" s="2" t="str">
        <f>TEXT(Bike_Sales[[#This Row],[Date]],"dddd")</f>
        <v>Thursday</v>
      </c>
      <c r="E712" s="3">
        <v>54</v>
      </c>
      <c r="F712" s="3" t="s">
        <v>135</v>
      </c>
      <c r="G712" s="3" t="s">
        <v>129</v>
      </c>
      <c r="H712" s="3" t="s">
        <v>15</v>
      </c>
      <c r="I712" s="3" t="s">
        <v>11</v>
      </c>
      <c r="J712" s="3" t="s">
        <v>101</v>
      </c>
      <c r="K712" s="3" t="s">
        <v>44</v>
      </c>
      <c r="L712" s="4">
        <v>4</v>
      </c>
      <c r="M712" s="3">
        <v>700</v>
      </c>
      <c r="N712" s="3">
        <v>1100</v>
      </c>
      <c r="O712" s="15">
        <f>Bike_Sales[[#This Row],[Order_Quantity]]*Bike_Sales[[#This Row],[Unit_Price]]</f>
        <v>4400</v>
      </c>
      <c r="P712" s="15">
        <f>Bike_Sales[[#This Row],[Order_Quantity]]*Bike_Sales[[#This Row],[Unit_Cost]]</f>
        <v>2800</v>
      </c>
      <c r="Q712" s="15">
        <f>Bike_Sales[[#This Row],[Total Sales]]-Bike_Sales[[#This Row],[Total Cost]]</f>
        <v>1600</v>
      </c>
      <c r="R712" s="17">
        <f>Bike_Sales[[#This Row],[Profit]]/Bike_Sales[[#This Row],[Total Sales]]</f>
        <v>0.36363636363636365</v>
      </c>
      <c r="S712" s="16" t="str">
        <f t="shared" si="11"/>
        <v>45-54</v>
      </c>
    </row>
    <row r="713" spans="1:19" x14ac:dyDescent="0.35">
      <c r="A713" s="2">
        <v>44497</v>
      </c>
      <c r="B713" s="2" t="str">
        <f>TEXT(Bike_Sales[[#This Row],[Date]],"mmmm")</f>
        <v>October</v>
      </c>
      <c r="C713" s="19">
        <f>MONTH(Bike_Sales[[#This Row],[Date]])</f>
        <v>10</v>
      </c>
      <c r="D713" s="2" t="str">
        <f>TEXT(Bike_Sales[[#This Row],[Date]],"dddd")</f>
        <v>Thursday</v>
      </c>
      <c r="E713" s="3">
        <v>54</v>
      </c>
      <c r="F713" s="3" t="s">
        <v>126</v>
      </c>
      <c r="G713" s="3" t="s">
        <v>18</v>
      </c>
      <c r="H713" s="3" t="s">
        <v>19</v>
      </c>
      <c r="I713" s="3" t="s">
        <v>11</v>
      </c>
      <c r="J713" s="3" t="s">
        <v>104</v>
      </c>
      <c r="K713" s="3" t="s">
        <v>34</v>
      </c>
      <c r="L713" s="4">
        <v>2</v>
      </c>
      <c r="M713" s="3">
        <v>500</v>
      </c>
      <c r="N713" s="3">
        <v>800</v>
      </c>
      <c r="O713" s="15">
        <f>Bike_Sales[[#This Row],[Order_Quantity]]*Bike_Sales[[#This Row],[Unit_Price]]</f>
        <v>1600</v>
      </c>
      <c r="P713" s="15">
        <f>Bike_Sales[[#This Row],[Order_Quantity]]*Bike_Sales[[#This Row],[Unit_Cost]]</f>
        <v>1000</v>
      </c>
      <c r="Q713" s="15">
        <f>Bike_Sales[[#This Row],[Total Sales]]-Bike_Sales[[#This Row],[Total Cost]]</f>
        <v>600</v>
      </c>
      <c r="R713" s="17">
        <f>Bike_Sales[[#This Row],[Profit]]/Bike_Sales[[#This Row],[Total Sales]]</f>
        <v>0.375</v>
      </c>
      <c r="S713" s="16" t="str">
        <f t="shared" si="11"/>
        <v>45-54</v>
      </c>
    </row>
    <row r="714" spans="1:19" x14ac:dyDescent="0.35">
      <c r="A714" s="2">
        <v>44499</v>
      </c>
      <c r="B714" s="2" t="str">
        <f>TEXT(Bike_Sales[[#This Row],[Date]],"mmmm")</f>
        <v>October</v>
      </c>
      <c r="C714" s="19">
        <f>MONTH(Bike_Sales[[#This Row],[Date]])</f>
        <v>10</v>
      </c>
      <c r="D714" s="2" t="str">
        <f>TEXT(Bike_Sales[[#This Row],[Date]],"dddd")</f>
        <v>Saturday</v>
      </c>
      <c r="E714" s="3">
        <v>54</v>
      </c>
      <c r="F714" s="3" t="s">
        <v>126</v>
      </c>
      <c r="G714" s="3" t="s">
        <v>18</v>
      </c>
      <c r="H714" s="3" t="s">
        <v>24</v>
      </c>
      <c r="I714" s="3" t="s">
        <v>11</v>
      </c>
      <c r="J714" s="3" t="s">
        <v>101</v>
      </c>
      <c r="K714" s="3" t="s">
        <v>65</v>
      </c>
      <c r="L714" s="4">
        <v>1</v>
      </c>
      <c r="M714" s="3">
        <v>620</v>
      </c>
      <c r="N714" s="3">
        <v>980</v>
      </c>
      <c r="O714" s="15">
        <f>Bike_Sales[[#This Row],[Order_Quantity]]*Bike_Sales[[#This Row],[Unit_Price]]</f>
        <v>980</v>
      </c>
      <c r="P714" s="15">
        <f>Bike_Sales[[#This Row],[Order_Quantity]]*Bike_Sales[[#This Row],[Unit_Cost]]</f>
        <v>620</v>
      </c>
      <c r="Q714" s="15">
        <f>Bike_Sales[[#This Row],[Total Sales]]-Bike_Sales[[#This Row],[Total Cost]]</f>
        <v>360</v>
      </c>
      <c r="R714" s="17">
        <f>Bike_Sales[[#This Row],[Profit]]/Bike_Sales[[#This Row],[Total Sales]]</f>
        <v>0.36734693877551022</v>
      </c>
      <c r="S714" s="16" t="str">
        <f t="shared" si="11"/>
        <v>45-54</v>
      </c>
    </row>
    <row r="715" spans="1:19" x14ac:dyDescent="0.35">
      <c r="A715" s="2">
        <v>44533</v>
      </c>
      <c r="B715" s="2" t="str">
        <f>TEXT(Bike_Sales[[#This Row],[Date]],"mmmm")</f>
        <v>December</v>
      </c>
      <c r="C715" s="19">
        <f>MONTH(Bike_Sales[[#This Row],[Date]])</f>
        <v>12</v>
      </c>
      <c r="D715" s="2" t="str">
        <f>TEXT(Bike_Sales[[#This Row],[Date]],"dddd")</f>
        <v>Friday</v>
      </c>
      <c r="E715" s="3">
        <v>54</v>
      </c>
      <c r="F715" s="3" t="s">
        <v>126</v>
      </c>
      <c r="G715" s="3" t="s">
        <v>9</v>
      </c>
      <c r="H715" s="3" t="s">
        <v>10</v>
      </c>
      <c r="I715" s="3" t="s">
        <v>11</v>
      </c>
      <c r="J715" s="3" t="s">
        <v>104</v>
      </c>
      <c r="K715" s="3" t="s">
        <v>77</v>
      </c>
      <c r="L715" s="4">
        <v>1</v>
      </c>
      <c r="M715" s="3">
        <v>500</v>
      </c>
      <c r="N715" s="3">
        <v>800</v>
      </c>
      <c r="O715" s="15">
        <f>Bike_Sales[[#This Row],[Order_Quantity]]*Bike_Sales[[#This Row],[Unit_Price]]</f>
        <v>800</v>
      </c>
      <c r="P715" s="15">
        <f>Bike_Sales[[#This Row],[Order_Quantity]]*Bike_Sales[[#This Row],[Unit_Cost]]</f>
        <v>500</v>
      </c>
      <c r="Q715" s="15">
        <f>Bike_Sales[[#This Row],[Total Sales]]-Bike_Sales[[#This Row],[Total Cost]]</f>
        <v>300</v>
      </c>
      <c r="R715" s="17">
        <f>Bike_Sales[[#This Row],[Profit]]/Bike_Sales[[#This Row],[Total Sales]]</f>
        <v>0.375</v>
      </c>
      <c r="S715" s="16" t="str">
        <f t="shared" si="11"/>
        <v>45-54</v>
      </c>
    </row>
    <row r="716" spans="1:19" x14ac:dyDescent="0.35">
      <c r="A716" s="2">
        <v>44541</v>
      </c>
      <c r="B716" s="2" t="str">
        <f>TEXT(Bike_Sales[[#This Row],[Date]],"mmmm")</f>
        <v>December</v>
      </c>
      <c r="C716" s="19">
        <f>MONTH(Bike_Sales[[#This Row],[Date]])</f>
        <v>12</v>
      </c>
      <c r="D716" s="2" t="str">
        <f>TEXT(Bike_Sales[[#This Row],[Date]],"dddd")</f>
        <v>Saturday</v>
      </c>
      <c r="E716" s="3">
        <v>54</v>
      </c>
      <c r="F716" s="3" t="s">
        <v>126</v>
      </c>
      <c r="G716" s="3" t="s">
        <v>9</v>
      </c>
      <c r="H716" s="3" t="s">
        <v>37</v>
      </c>
      <c r="I716" s="3" t="s">
        <v>11</v>
      </c>
      <c r="J716" s="3" t="s">
        <v>104</v>
      </c>
      <c r="K716" s="3" t="s">
        <v>12</v>
      </c>
      <c r="L716" s="4">
        <v>1</v>
      </c>
      <c r="M716" s="3">
        <v>500</v>
      </c>
      <c r="N716" s="3">
        <v>800</v>
      </c>
      <c r="O716" s="15">
        <f>Bike_Sales[[#This Row],[Order_Quantity]]*Bike_Sales[[#This Row],[Unit_Price]]</f>
        <v>800</v>
      </c>
      <c r="P716" s="15">
        <f>Bike_Sales[[#This Row],[Order_Quantity]]*Bike_Sales[[#This Row],[Unit_Cost]]</f>
        <v>500</v>
      </c>
      <c r="Q716" s="15">
        <f>Bike_Sales[[#This Row],[Total Sales]]-Bike_Sales[[#This Row],[Total Cost]]</f>
        <v>300</v>
      </c>
      <c r="R716" s="17">
        <f>Bike_Sales[[#This Row],[Profit]]/Bike_Sales[[#This Row],[Total Sales]]</f>
        <v>0.375</v>
      </c>
      <c r="S716" s="16" t="str">
        <f t="shared" si="11"/>
        <v>45-54</v>
      </c>
    </row>
    <row r="717" spans="1:19" x14ac:dyDescent="0.35">
      <c r="A717" s="2">
        <v>44543</v>
      </c>
      <c r="B717" s="2" t="str">
        <f>TEXT(Bike_Sales[[#This Row],[Date]],"mmmm")</f>
        <v>December</v>
      </c>
      <c r="C717" s="19">
        <f>MONTH(Bike_Sales[[#This Row],[Date]])</f>
        <v>12</v>
      </c>
      <c r="D717" s="2" t="str">
        <f>TEXT(Bike_Sales[[#This Row],[Date]],"dddd")</f>
        <v>Monday</v>
      </c>
      <c r="E717" s="3">
        <v>54</v>
      </c>
      <c r="F717" s="3" t="s">
        <v>135</v>
      </c>
      <c r="G717" s="3" t="s">
        <v>9</v>
      </c>
      <c r="H717" s="3" t="s">
        <v>37</v>
      </c>
      <c r="I717" s="3" t="s">
        <v>11</v>
      </c>
      <c r="J717" s="3" t="s">
        <v>102</v>
      </c>
      <c r="K717" s="3" t="s">
        <v>86</v>
      </c>
      <c r="L717" s="4">
        <v>1</v>
      </c>
      <c r="M717" s="3">
        <v>620</v>
      </c>
      <c r="N717" s="3">
        <v>980</v>
      </c>
      <c r="O717" s="15">
        <f>Bike_Sales[[#This Row],[Order_Quantity]]*Bike_Sales[[#This Row],[Unit_Price]]</f>
        <v>980</v>
      </c>
      <c r="P717" s="15">
        <f>Bike_Sales[[#This Row],[Order_Quantity]]*Bike_Sales[[#This Row],[Unit_Cost]]</f>
        <v>620</v>
      </c>
      <c r="Q717" s="15">
        <f>Bike_Sales[[#This Row],[Total Sales]]-Bike_Sales[[#This Row],[Total Cost]]</f>
        <v>360</v>
      </c>
      <c r="R717" s="17">
        <f>Bike_Sales[[#This Row],[Profit]]/Bike_Sales[[#This Row],[Total Sales]]</f>
        <v>0.36734693877551022</v>
      </c>
      <c r="S717" s="16" t="str">
        <f t="shared" si="11"/>
        <v>45-54</v>
      </c>
    </row>
    <row r="718" spans="1:19" x14ac:dyDescent="0.35">
      <c r="A718" s="2">
        <v>44556</v>
      </c>
      <c r="B718" s="2" t="str">
        <f>TEXT(Bike_Sales[[#This Row],[Date]],"mmmm")</f>
        <v>December</v>
      </c>
      <c r="C718" s="19">
        <f>MONTH(Bike_Sales[[#This Row],[Date]])</f>
        <v>12</v>
      </c>
      <c r="D718" s="2" t="str">
        <f>TEXT(Bike_Sales[[#This Row],[Date]],"dddd")</f>
        <v>Sunday</v>
      </c>
      <c r="E718" s="3">
        <v>54</v>
      </c>
      <c r="F718" s="3" t="s">
        <v>126</v>
      </c>
      <c r="G718" s="3" t="s">
        <v>18</v>
      </c>
      <c r="H718" s="3" t="s">
        <v>35</v>
      </c>
      <c r="I718" s="3" t="s">
        <v>16</v>
      </c>
      <c r="J718" s="3" t="s">
        <v>101</v>
      </c>
      <c r="K718" s="3" t="s">
        <v>17</v>
      </c>
      <c r="L718" s="4">
        <v>2</v>
      </c>
      <c r="M718" s="3">
        <v>550</v>
      </c>
      <c r="N718" s="3">
        <v>850</v>
      </c>
      <c r="O718" s="15">
        <f>Bike_Sales[[#This Row],[Order_Quantity]]*Bike_Sales[[#This Row],[Unit_Price]]</f>
        <v>1700</v>
      </c>
      <c r="P718" s="15">
        <f>Bike_Sales[[#This Row],[Order_Quantity]]*Bike_Sales[[#This Row],[Unit_Cost]]</f>
        <v>1100</v>
      </c>
      <c r="Q718" s="15">
        <f>Bike_Sales[[#This Row],[Total Sales]]-Bike_Sales[[#This Row],[Total Cost]]</f>
        <v>600</v>
      </c>
      <c r="R718" s="17">
        <f>Bike_Sales[[#This Row],[Profit]]/Bike_Sales[[#This Row],[Total Sales]]</f>
        <v>0.35294117647058826</v>
      </c>
      <c r="S718" s="16" t="str">
        <f t="shared" si="11"/>
        <v>45-54</v>
      </c>
    </row>
    <row r="719" spans="1:19" x14ac:dyDescent="0.35">
      <c r="A719" s="2">
        <v>44477</v>
      </c>
      <c r="B719" s="2" t="str">
        <f>TEXT(Bike_Sales[[#This Row],[Date]],"mmmm")</f>
        <v>October</v>
      </c>
      <c r="C719" s="19">
        <f>MONTH(Bike_Sales[[#This Row],[Date]])</f>
        <v>10</v>
      </c>
      <c r="D719" s="2" t="str">
        <f>TEXT(Bike_Sales[[#This Row],[Date]],"dddd")</f>
        <v>Friday</v>
      </c>
      <c r="E719" s="3">
        <v>55</v>
      </c>
      <c r="F719" s="3" t="s">
        <v>126</v>
      </c>
      <c r="G719" s="3" t="s">
        <v>18</v>
      </c>
      <c r="H719" s="3" t="s">
        <v>35</v>
      </c>
      <c r="I719" s="3" t="s">
        <v>11</v>
      </c>
      <c r="J719" s="3" t="s">
        <v>104</v>
      </c>
      <c r="K719" s="3" t="s">
        <v>52</v>
      </c>
      <c r="L719" s="4">
        <v>4</v>
      </c>
      <c r="M719" s="3">
        <v>530</v>
      </c>
      <c r="N719" s="3">
        <v>840</v>
      </c>
      <c r="O719" s="15">
        <f>Bike_Sales[[#This Row],[Order_Quantity]]*Bike_Sales[[#This Row],[Unit_Price]]</f>
        <v>3360</v>
      </c>
      <c r="P719" s="15">
        <f>Bike_Sales[[#This Row],[Order_Quantity]]*Bike_Sales[[#This Row],[Unit_Cost]]</f>
        <v>2120</v>
      </c>
      <c r="Q719" s="15">
        <f>Bike_Sales[[#This Row],[Total Sales]]-Bike_Sales[[#This Row],[Total Cost]]</f>
        <v>1240</v>
      </c>
      <c r="R719" s="17">
        <f>Bike_Sales[[#This Row],[Profit]]/Bike_Sales[[#This Row],[Total Sales]]</f>
        <v>0.36904761904761907</v>
      </c>
      <c r="S719" s="16" t="str">
        <f t="shared" si="11"/>
        <v>55+</v>
      </c>
    </row>
    <row r="720" spans="1:19" x14ac:dyDescent="0.35">
      <c r="A720" s="2">
        <v>44482</v>
      </c>
      <c r="B720" s="2" t="str">
        <f>TEXT(Bike_Sales[[#This Row],[Date]],"mmmm")</f>
        <v>October</v>
      </c>
      <c r="C720" s="19">
        <f>MONTH(Bike_Sales[[#This Row],[Date]])</f>
        <v>10</v>
      </c>
      <c r="D720" s="2" t="str">
        <f>TEXT(Bike_Sales[[#This Row],[Date]],"dddd")</f>
        <v>Wednesday</v>
      </c>
      <c r="E720" s="3">
        <v>55</v>
      </c>
      <c r="F720" s="3" t="s">
        <v>126</v>
      </c>
      <c r="G720" s="3" t="s">
        <v>18</v>
      </c>
      <c r="H720" s="3" t="s">
        <v>24</v>
      </c>
      <c r="I720" s="3" t="s">
        <v>11</v>
      </c>
      <c r="J720" s="3" t="s">
        <v>101</v>
      </c>
      <c r="K720" s="3" t="s">
        <v>67</v>
      </c>
      <c r="L720" s="4">
        <v>1</v>
      </c>
      <c r="M720" s="3">
        <v>700</v>
      </c>
      <c r="N720" s="3">
        <v>1100</v>
      </c>
      <c r="O720" s="15">
        <f>Bike_Sales[[#This Row],[Order_Quantity]]*Bike_Sales[[#This Row],[Unit_Price]]</f>
        <v>1100</v>
      </c>
      <c r="P720" s="15">
        <f>Bike_Sales[[#This Row],[Order_Quantity]]*Bike_Sales[[#This Row],[Unit_Cost]]</f>
        <v>700</v>
      </c>
      <c r="Q720" s="15">
        <f>Bike_Sales[[#This Row],[Total Sales]]-Bike_Sales[[#This Row],[Total Cost]]</f>
        <v>400</v>
      </c>
      <c r="R720" s="17">
        <f>Bike_Sales[[#This Row],[Profit]]/Bike_Sales[[#This Row],[Total Sales]]</f>
        <v>0.36363636363636365</v>
      </c>
      <c r="S720" s="16" t="str">
        <f t="shared" si="11"/>
        <v>55+</v>
      </c>
    </row>
    <row r="721" spans="1:19" x14ac:dyDescent="0.35">
      <c r="A721" s="2">
        <v>44544</v>
      </c>
      <c r="B721" s="2" t="str">
        <f>TEXT(Bike_Sales[[#This Row],[Date]],"mmmm")</f>
        <v>December</v>
      </c>
      <c r="C721" s="19">
        <f>MONTH(Bike_Sales[[#This Row],[Date]])</f>
        <v>12</v>
      </c>
      <c r="D721" s="2" t="str">
        <f>TEXT(Bike_Sales[[#This Row],[Date]],"dddd")</f>
        <v>Tuesday</v>
      </c>
      <c r="E721" s="3">
        <v>55</v>
      </c>
      <c r="F721" s="3" t="s">
        <v>126</v>
      </c>
      <c r="G721" s="3" t="s">
        <v>9</v>
      </c>
      <c r="H721" s="3" t="s">
        <v>37</v>
      </c>
      <c r="I721" s="3" t="s">
        <v>11</v>
      </c>
      <c r="J721" s="3" t="s">
        <v>104</v>
      </c>
      <c r="K721" s="3" t="s">
        <v>68</v>
      </c>
      <c r="L721" s="4">
        <v>1</v>
      </c>
      <c r="M721" s="3">
        <v>500</v>
      </c>
      <c r="N721" s="3">
        <v>800</v>
      </c>
      <c r="O721" s="15">
        <f>Bike_Sales[[#This Row],[Order_Quantity]]*Bike_Sales[[#This Row],[Unit_Price]]</f>
        <v>800</v>
      </c>
      <c r="P721" s="15">
        <f>Bike_Sales[[#This Row],[Order_Quantity]]*Bike_Sales[[#This Row],[Unit_Cost]]</f>
        <v>500</v>
      </c>
      <c r="Q721" s="15">
        <f>Bike_Sales[[#This Row],[Total Sales]]-Bike_Sales[[#This Row],[Total Cost]]</f>
        <v>300</v>
      </c>
      <c r="R721" s="17">
        <f>Bike_Sales[[#This Row],[Profit]]/Bike_Sales[[#This Row],[Total Sales]]</f>
        <v>0.375</v>
      </c>
      <c r="S721" s="16" t="str">
        <f t="shared" si="11"/>
        <v>55+</v>
      </c>
    </row>
    <row r="722" spans="1:19" x14ac:dyDescent="0.35">
      <c r="A722" s="2">
        <v>44488</v>
      </c>
      <c r="B722" s="2" t="str">
        <f>TEXT(Bike_Sales[[#This Row],[Date]],"mmmm")</f>
        <v>October</v>
      </c>
      <c r="C722" s="19">
        <f>MONTH(Bike_Sales[[#This Row],[Date]])</f>
        <v>10</v>
      </c>
      <c r="D722" s="2" t="str">
        <f>TEXT(Bike_Sales[[#This Row],[Date]],"dddd")</f>
        <v>Tuesday</v>
      </c>
      <c r="E722" s="3">
        <v>56</v>
      </c>
      <c r="F722" s="3" t="s">
        <v>126</v>
      </c>
      <c r="G722" s="3" t="s">
        <v>18</v>
      </c>
      <c r="H722" s="3" t="s">
        <v>24</v>
      </c>
      <c r="I722" s="3" t="s">
        <v>11</v>
      </c>
      <c r="J722" s="3" t="s">
        <v>104</v>
      </c>
      <c r="K722" s="3" t="s">
        <v>77</v>
      </c>
      <c r="L722" s="4">
        <v>3</v>
      </c>
      <c r="M722" s="3">
        <v>500</v>
      </c>
      <c r="N722" s="3">
        <v>800</v>
      </c>
      <c r="O722" s="15">
        <f>Bike_Sales[[#This Row],[Order_Quantity]]*Bike_Sales[[#This Row],[Unit_Price]]</f>
        <v>2400</v>
      </c>
      <c r="P722" s="15">
        <f>Bike_Sales[[#This Row],[Order_Quantity]]*Bike_Sales[[#This Row],[Unit_Cost]]</f>
        <v>1500</v>
      </c>
      <c r="Q722" s="15">
        <f>Bike_Sales[[#This Row],[Total Sales]]-Bike_Sales[[#This Row],[Total Cost]]</f>
        <v>900</v>
      </c>
      <c r="R722" s="17">
        <f>Bike_Sales[[#This Row],[Profit]]/Bike_Sales[[#This Row],[Total Sales]]</f>
        <v>0.375</v>
      </c>
      <c r="S722" s="16" t="str">
        <f t="shared" si="11"/>
        <v>55+</v>
      </c>
    </row>
    <row r="723" spans="1:19" x14ac:dyDescent="0.35">
      <c r="A723" s="2">
        <v>44501</v>
      </c>
      <c r="B723" s="2" t="str">
        <f>TEXT(Bike_Sales[[#This Row],[Date]],"mmmm")</f>
        <v>November</v>
      </c>
      <c r="C723" s="19">
        <f>MONTH(Bike_Sales[[#This Row],[Date]])</f>
        <v>11</v>
      </c>
      <c r="D723" s="2" t="str">
        <f>TEXT(Bike_Sales[[#This Row],[Date]],"dddd")</f>
        <v>Monday</v>
      </c>
      <c r="E723" s="3">
        <v>56</v>
      </c>
      <c r="F723" s="3" t="s">
        <v>135</v>
      </c>
      <c r="G723" s="3" t="s">
        <v>9</v>
      </c>
      <c r="H723" s="3" t="s">
        <v>69</v>
      </c>
      <c r="I723" s="3" t="s">
        <v>11</v>
      </c>
      <c r="J723" s="3" t="s">
        <v>101</v>
      </c>
      <c r="K723" s="3" t="s">
        <v>46</v>
      </c>
      <c r="L723" s="4">
        <v>1</v>
      </c>
      <c r="M723" s="3">
        <v>580</v>
      </c>
      <c r="N723" s="3">
        <v>920</v>
      </c>
      <c r="O723" s="15">
        <f>Bike_Sales[[#This Row],[Order_Quantity]]*Bike_Sales[[#This Row],[Unit_Price]]</f>
        <v>920</v>
      </c>
      <c r="P723" s="15">
        <f>Bike_Sales[[#This Row],[Order_Quantity]]*Bike_Sales[[#This Row],[Unit_Cost]]</f>
        <v>580</v>
      </c>
      <c r="Q723" s="15">
        <f>Bike_Sales[[#This Row],[Total Sales]]-Bike_Sales[[#This Row],[Total Cost]]</f>
        <v>340</v>
      </c>
      <c r="R723" s="17">
        <f>Bike_Sales[[#This Row],[Profit]]/Bike_Sales[[#This Row],[Total Sales]]</f>
        <v>0.36956521739130432</v>
      </c>
      <c r="S723" s="16" t="str">
        <f t="shared" si="11"/>
        <v>55+</v>
      </c>
    </row>
    <row r="724" spans="1:19" x14ac:dyDescent="0.35">
      <c r="A724" s="2">
        <v>44507</v>
      </c>
      <c r="B724" s="2" t="str">
        <f>TEXT(Bike_Sales[[#This Row],[Date]],"mmmm")</f>
        <v>November</v>
      </c>
      <c r="C724" s="19">
        <f>MONTH(Bike_Sales[[#This Row],[Date]])</f>
        <v>11</v>
      </c>
      <c r="D724" s="2" t="str">
        <f>TEXT(Bike_Sales[[#This Row],[Date]],"dddd")</f>
        <v>Sunday</v>
      </c>
      <c r="E724" s="3">
        <v>56</v>
      </c>
      <c r="F724" s="3" t="s">
        <v>135</v>
      </c>
      <c r="G724" s="3" t="s">
        <v>9</v>
      </c>
      <c r="H724" s="3" t="s">
        <v>10</v>
      </c>
      <c r="I724" s="3" t="s">
        <v>11</v>
      </c>
      <c r="J724" s="3" t="s">
        <v>104</v>
      </c>
      <c r="K724" s="3" t="s">
        <v>77</v>
      </c>
      <c r="L724" s="4">
        <v>4</v>
      </c>
      <c r="M724" s="3">
        <v>500</v>
      </c>
      <c r="N724" s="3">
        <v>800</v>
      </c>
      <c r="O724" s="15">
        <f>Bike_Sales[[#This Row],[Order_Quantity]]*Bike_Sales[[#This Row],[Unit_Price]]</f>
        <v>3200</v>
      </c>
      <c r="P724" s="15">
        <f>Bike_Sales[[#This Row],[Order_Quantity]]*Bike_Sales[[#This Row],[Unit_Cost]]</f>
        <v>2000</v>
      </c>
      <c r="Q724" s="15">
        <f>Bike_Sales[[#This Row],[Total Sales]]-Bike_Sales[[#This Row],[Total Cost]]</f>
        <v>1200</v>
      </c>
      <c r="R724" s="17">
        <f>Bike_Sales[[#This Row],[Profit]]/Bike_Sales[[#This Row],[Total Sales]]</f>
        <v>0.375</v>
      </c>
      <c r="S724" s="16" t="str">
        <f t="shared" si="11"/>
        <v>55+</v>
      </c>
    </row>
    <row r="725" spans="1:19" x14ac:dyDescent="0.35">
      <c r="A725" s="2">
        <v>44514</v>
      </c>
      <c r="B725" s="2" t="str">
        <f>TEXT(Bike_Sales[[#This Row],[Date]],"mmmm")</f>
        <v>November</v>
      </c>
      <c r="C725" s="19">
        <f>MONTH(Bike_Sales[[#This Row],[Date]])</f>
        <v>11</v>
      </c>
      <c r="D725" s="2" t="str">
        <f>TEXT(Bike_Sales[[#This Row],[Date]],"dddd")</f>
        <v>Sunday</v>
      </c>
      <c r="E725" s="3">
        <v>56</v>
      </c>
      <c r="F725" s="3" t="s">
        <v>126</v>
      </c>
      <c r="G725" s="3" t="s">
        <v>9</v>
      </c>
      <c r="H725" s="3" t="s">
        <v>37</v>
      </c>
      <c r="I725" s="3" t="s">
        <v>11</v>
      </c>
      <c r="J725" s="3" t="s">
        <v>102</v>
      </c>
      <c r="K725" s="3" t="s">
        <v>72</v>
      </c>
      <c r="L725" s="4">
        <v>1</v>
      </c>
      <c r="M725" s="3">
        <v>580</v>
      </c>
      <c r="N725" s="3">
        <v>920</v>
      </c>
      <c r="O725" s="15">
        <f>Bike_Sales[[#This Row],[Order_Quantity]]*Bike_Sales[[#This Row],[Unit_Price]]</f>
        <v>920</v>
      </c>
      <c r="P725" s="15">
        <f>Bike_Sales[[#This Row],[Order_Quantity]]*Bike_Sales[[#This Row],[Unit_Cost]]</f>
        <v>580</v>
      </c>
      <c r="Q725" s="15">
        <f>Bike_Sales[[#This Row],[Total Sales]]-Bike_Sales[[#This Row],[Total Cost]]</f>
        <v>340</v>
      </c>
      <c r="R725" s="17">
        <f>Bike_Sales[[#This Row],[Profit]]/Bike_Sales[[#This Row],[Total Sales]]</f>
        <v>0.36956521739130432</v>
      </c>
      <c r="S725" s="16" t="str">
        <f t="shared" si="11"/>
        <v>55+</v>
      </c>
    </row>
    <row r="726" spans="1:19" x14ac:dyDescent="0.35">
      <c r="A726" s="2">
        <v>44514</v>
      </c>
      <c r="B726" s="2" t="str">
        <f>TEXT(Bike_Sales[[#This Row],[Date]],"mmmm")</f>
        <v>November</v>
      </c>
      <c r="C726" s="19">
        <f>MONTH(Bike_Sales[[#This Row],[Date]])</f>
        <v>11</v>
      </c>
      <c r="D726" s="2" t="str">
        <f>TEXT(Bike_Sales[[#This Row],[Date]],"dddd")</f>
        <v>Sunday</v>
      </c>
      <c r="E726" s="3">
        <v>56</v>
      </c>
      <c r="F726" s="3" t="s">
        <v>126</v>
      </c>
      <c r="G726" s="3" t="s">
        <v>9</v>
      </c>
      <c r="H726" s="3" t="s">
        <v>37</v>
      </c>
      <c r="I726" s="3" t="s">
        <v>11</v>
      </c>
      <c r="J726" s="3" t="s">
        <v>102</v>
      </c>
      <c r="K726" s="3" t="s">
        <v>72</v>
      </c>
      <c r="L726" s="4">
        <v>1</v>
      </c>
      <c r="M726" s="3">
        <v>580</v>
      </c>
      <c r="N726" s="3">
        <v>920</v>
      </c>
      <c r="O726" s="15">
        <f>Bike_Sales[[#This Row],[Order_Quantity]]*Bike_Sales[[#This Row],[Unit_Price]]</f>
        <v>920</v>
      </c>
      <c r="P726" s="15">
        <f>Bike_Sales[[#This Row],[Order_Quantity]]*Bike_Sales[[#This Row],[Unit_Cost]]</f>
        <v>580</v>
      </c>
      <c r="Q726" s="15">
        <f>Bike_Sales[[#This Row],[Total Sales]]-Bike_Sales[[#This Row],[Total Cost]]</f>
        <v>340</v>
      </c>
      <c r="R726" s="17">
        <f>Bike_Sales[[#This Row],[Profit]]/Bike_Sales[[#This Row],[Total Sales]]</f>
        <v>0.36956521739130432</v>
      </c>
      <c r="S726" s="16" t="str">
        <f t="shared" si="11"/>
        <v>55+</v>
      </c>
    </row>
    <row r="727" spans="1:19" x14ac:dyDescent="0.35">
      <c r="A727" s="2">
        <v>44527</v>
      </c>
      <c r="B727" s="2" t="str">
        <f>TEXT(Bike_Sales[[#This Row],[Date]],"mmmm")</f>
        <v>November</v>
      </c>
      <c r="C727" s="19">
        <f>MONTH(Bike_Sales[[#This Row],[Date]])</f>
        <v>11</v>
      </c>
      <c r="D727" s="2" t="str">
        <f>TEXT(Bike_Sales[[#This Row],[Date]],"dddd")</f>
        <v>Saturday</v>
      </c>
      <c r="E727" s="3">
        <v>56</v>
      </c>
      <c r="F727" s="3" t="s">
        <v>135</v>
      </c>
      <c r="G727" s="3" t="s">
        <v>9</v>
      </c>
      <c r="H727" s="3" t="s">
        <v>37</v>
      </c>
      <c r="I727" s="3" t="s">
        <v>11</v>
      </c>
      <c r="J727" s="3" t="s">
        <v>101</v>
      </c>
      <c r="K727" s="3" t="s">
        <v>44</v>
      </c>
      <c r="L727" s="4">
        <v>3</v>
      </c>
      <c r="M727" s="3">
        <v>700</v>
      </c>
      <c r="N727" s="3">
        <v>1100</v>
      </c>
      <c r="O727" s="15">
        <f>Bike_Sales[[#This Row],[Order_Quantity]]*Bike_Sales[[#This Row],[Unit_Price]]</f>
        <v>3300</v>
      </c>
      <c r="P727" s="15">
        <f>Bike_Sales[[#This Row],[Order_Quantity]]*Bike_Sales[[#This Row],[Unit_Cost]]</f>
        <v>2100</v>
      </c>
      <c r="Q727" s="15">
        <f>Bike_Sales[[#This Row],[Total Sales]]-Bike_Sales[[#This Row],[Total Cost]]</f>
        <v>1200</v>
      </c>
      <c r="R727" s="17">
        <f>Bike_Sales[[#This Row],[Profit]]/Bike_Sales[[#This Row],[Total Sales]]</f>
        <v>0.36363636363636365</v>
      </c>
      <c r="S727" s="16" t="str">
        <f t="shared" si="11"/>
        <v>55+</v>
      </c>
    </row>
    <row r="728" spans="1:19" x14ac:dyDescent="0.35">
      <c r="A728" s="2">
        <v>44541</v>
      </c>
      <c r="B728" s="2" t="str">
        <f>TEXT(Bike_Sales[[#This Row],[Date]],"mmmm")</f>
        <v>December</v>
      </c>
      <c r="C728" s="19">
        <f>MONTH(Bike_Sales[[#This Row],[Date]])</f>
        <v>12</v>
      </c>
      <c r="D728" s="2" t="str">
        <f>TEXT(Bike_Sales[[#This Row],[Date]],"dddd")</f>
        <v>Saturday</v>
      </c>
      <c r="E728" s="3">
        <v>56</v>
      </c>
      <c r="F728" s="3" t="s">
        <v>126</v>
      </c>
      <c r="G728" s="3" t="s">
        <v>9</v>
      </c>
      <c r="H728" s="3" t="s">
        <v>10</v>
      </c>
      <c r="I728" s="3" t="s">
        <v>11</v>
      </c>
      <c r="J728" s="3" t="s">
        <v>102</v>
      </c>
      <c r="K728" s="3" t="s">
        <v>36</v>
      </c>
      <c r="L728" s="4">
        <v>4</v>
      </c>
      <c r="M728" s="3">
        <v>580</v>
      </c>
      <c r="N728" s="3">
        <v>920</v>
      </c>
      <c r="O728" s="15">
        <f>Bike_Sales[[#This Row],[Order_Quantity]]*Bike_Sales[[#This Row],[Unit_Price]]</f>
        <v>3680</v>
      </c>
      <c r="P728" s="15">
        <f>Bike_Sales[[#This Row],[Order_Quantity]]*Bike_Sales[[#This Row],[Unit_Cost]]</f>
        <v>2320</v>
      </c>
      <c r="Q728" s="15">
        <f>Bike_Sales[[#This Row],[Total Sales]]-Bike_Sales[[#This Row],[Total Cost]]</f>
        <v>1360</v>
      </c>
      <c r="R728" s="17">
        <f>Bike_Sales[[#This Row],[Profit]]/Bike_Sales[[#This Row],[Total Sales]]</f>
        <v>0.36956521739130432</v>
      </c>
      <c r="S728" s="16" t="str">
        <f t="shared" si="11"/>
        <v>55+</v>
      </c>
    </row>
    <row r="729" spans="1:19" x14ac:dyDescent="0.35">
      <c r="A729" s="2">
        <v>44549</v>
      </c>
      <c r="B729" s="2" t="str">
        <f>TEXT(Bike_Sales[[#This Row],[Date]],"mmmm")</f>
        <v>December</v>
      </c>
      <c r="C729" s="19">
        <f>MONTH(Bike_Sales[[#This Row],[Date]])</f>
        <v>12</v>
      </c>
      <c r="D729" s="2" t="str">
        <f>TEXT(Bike_Sales[[#This Row],[Date]],"dddd")</f>
        <v>Sunday</v>
      </c>
      <c r="E729" s="3">
        <v>56</v>
      </c>
      <c r="F729" s="3" t="s">
        <v>135</v>
      </c>
      <c r="G729" s="3" t="s">
        <v>33</v>
      </c>
      <c r="H729" s="3" t="s">
        <v>73</v>
      </c>
      <c r="I729" s="3" t="s">
        <v>16</v>
      </c>
      <c r="J729" s="3" t="s">
        <v>101</v>
      </c>
      <c r="K729" s="3" t="s">
        <v>49</v>
      </c>
      <c r="L729" s="4">
        <v>2</v>
      </c>
      <c r="M729" s="3">
        <v>550</v>
      </c>
      <c r="N729" s="3">
        <v>850</v>
      </c>
      <c r="O729" s="15">
        <f>Bike_Sales[[#This Row],[Order_Quantity]]*Bike_Sales[[#This Row],[Unit_Price]]</f>
        <v>1700</v>
      </c>
      <c r="P729" s="15">
        <f>Bike_Sales[[#This Row],[Order_Quantity]]*Bike_Sales[[#This Row],[Unit_Cost]]</f>
        <v>1100</v>
      </c>
      <c r="Q729" s="15">
        <f>Bike_Sales[[#This Row],[Total Sales]]-Bike_Sales[[#This Row],[Total Cost]]</f>
        <v>600</v>
      </c>
      <c r="R729" s="17">
        <f>Bike_Sales[[#This Row],[Profit]]/Bike_Sales[[#This Row],[Total Sales]]</f>
        <v>0.35294117647058826</v>
      </c>
      <c r="S729" s="16" t="str">
        <f t="shared" si="11"/>
        <v>55+</v>
      </c>
    </row>
    <row r="730" spans="1:19" x14ac:dyDescent="0.35">
      <c r="A730" s="2">
        <v>44481</v>
      </c>
      <c r="B730" s="2" t="str">
        <f>TEXT(Bike_Sales[[#This Row],[Date]],"mmmm")</f>
        <v>October</v>
      </c>
      <c r="C730" s="19">
        <f>MONTH(Bike_Sales[[#This Row],[Date]])</f>
        <v>10</v>
      </c>
      <c r="D730" s="2" t="str">
        <f>TEXT(Bike_Sales[[#This Row],[Date]],"dddd")</f>
        <v>Tuesday</v>
      </c>
      <c r="E730" s="3">
        <v>57</v>
      </c>
      <c r="F730" s="3" t="s">
        <v>126</v>
      </c>
      <c r="G730" s="3" t="s">
        <v>18</v>
      </c>
      <c r="H730" s="3" t="s">
        <v>19</v>
      </c>
      <c r="I730" s="3" t="s">
        <v>11</v>
      </c>
      <c r="J730" s="3" t="s">
        <v>104</v>
      </c>
      <c r="K730" s="3" t="s">
        <v>68</v>
      </c>
      <c r="L730" s="4">
        <v>1</v>
      </c>
      <c r="M730" s="3">
        <v>500</v>
      </c>
      <c r="N730" s="3">
        <v>800</v>
      </c>
      <c r="O730" s="15">
        <f>Bike_Sales[[#This Row],[Order_Quantity]]*Bike_Sales[[#This Row],[Unit_Price]]</f>
        <v>800</v>
      </c>
      <c r="P730" s="15">
        <f>Bike_Sales[[#This Row],[Order_Quantity]]*Bike_Sales[[#This Row],[Unit_Cost]]</f>
        <v>500</v>
      </c>
      <c r="Q730" s="15">
        <f>Bike_Sales[[#This Row],[Total Sales]]-Bike_Sales[[#This Row],[Total Cost]]</f>
        <v>300</v>
      </c>
      <c r="R730" s="17">
        <f>Bike_Sales[[#This Row],[Profit]]/Bike_Sales[[#This Row],[Total Sales]]</f>
        <v>0.375</v>
      </c>
      <c r="S730" s="16" t="str">
        <f t="shared" si="11"/>
        <v>55+</v>
      </c>
    </row>
    <row r="731" spans="1:19" x14ac:dyDescent="0.35">
      <c r="A731" s="2">
        <v>44484</v>
      </c>
      <c r="B731" s="2" t="str">
        <f>TEXT(Bike_Sales[[#This Row],[Date]],"mmmm")</f>
        <v>October</v>
      </c>
      <c r="C731" s="19">
        <f>MONTH(Bike_Sales[[#This Row],[Date]])</f>
        <v>10</v>
      </c>
      <c r="D731" s="2" t="str">
        <f>TEXT(Bike_Sales[[#This Row],[Date]],"dddd")</f>
        <v>Friday</v>
      </c>
      <c r="E731" s="3">
        <v>57</v>
      </c>
      <c r="F731" s="3" t="s">
        <v>126</v>
      </c>
      <c r="G731" s="3" t="s">
        <v>18</v>
      </c>
      <c r="H731" s="3" t="s">
        <v>24</v>
      </c>
      <c r="I731" s="3" t="s">
        <v>11</v>
      </c>
      <c r="J731" s="3" t="s">
        <v>102</v>
      </c>
      <c r="K731" s="3" t="s">
        <v>29</v>
      </c>
      <c r="L731" s="4">
        <v>4</v>
      </c>
      <c r="M731" s="3">
        <v>900</v>
      </c>
      <c r="N731" s="3">
        <v>1400</v>
      </c>
      <c r="O731" s="15">
        <f>Bike_Sales[[#This Row],[Order_Quantity]]*Bike_Sales[[#This Row],[Unit_Price]]</f>
        <v>5600</v>
      </c>
      <c r="P731" s="15">
        <f>Bike_Sales[[#This Row],[Order_Quantity]]*Bike_Sales[[#This Row],[Unit_Cost]]</f>
        <v>3600</v>
      </c>
      <c r="Q731" s="15">
        <f>Bike_Sales[[#This Row],[Total Sales]]-Bike_Sales[[#This Row],[Total Cost]]</f>
        <v>2000</v>
      </c>
      <c r="R731" s="17">
        <f>Bike_Sales[[#This Row],[Profit]]/Bike_Sales[[#This Row],[Total Sales]]</f>
        <v>0.35714285714285715</v>
      </c>
      <c r="S731" s="16" t="str">
        <f t="shared" si="11"/>
        <v>55+</v>
      </c>
    </row>
    <row r="732" spans="1:19" x14ac:dyDescent="0.35">
      <c r="A732" s="2">
        <v>44490</v>
      </c>
      <c r="B732" s="2" t="str">
        <f>TEXT(Bike_Sales[[#This Row],[Date]],"mmmm")</f>
        <v>October</v>
      </c>
      <c r="C732" s="19">
        <f>MONTH(Bike_Sales[[#This Row],[Date]])</f>
        <v>10</v>
      </c>
      <c r="D732" s="2" t="str">
        <f>TEXT(Bike_Sales[[#This Row],[Date]],"dddd")</f>
        <v>Thursday</v>
      </c>
      <c r="E732" s="3">
        <v>57</v>
      </c>
      <c r="F732" s="3" t="s">
        <v>135</v>
      </c>
      <c r="G732" s="3" t="s">
        <v>18</v>
      </c>
      <c r="H732" s="3" t="s">
        <v>35</v>
      </c>
      <c r="I732" s="3" t="s">
        <v>11</v>
      </c>
      <c r="J732" s="3" t="s">
        <v>101</v>
      </c>
      <c r="K732" s="3" t="s">
        <v>60</v>
      </c>
      <c r="L732" s="4">
        <v>3</v>
      </c>
      <c r="M732" s="3">
        <v>700</v>
      </c>
      <c r="N732" s="3">
        <v>1100</v>
      </c>
      <c r="O732" s="15">
        <f>Bike_Sales[[#This Row],[Order_Quantity]]*Bike_Sales[[#This Row],[Unit_Price]]</f>
        <v>3300</v>
      </c>
      <c r="P732" s="15">
        <f>Bike_Sales[[#This Row],[Order_Quantity]]*Bike_Sales[[#This Row],[Unit_Cost]]</f>
        <v>2100</v>
      </c>
      <c r="Q732" s="15">
        <f>Bike_Sales[[#This Row],[Total Sales]]-Bike_Sales[[#This Row],[Total Cost]]</f>
        <v>1200</v>
      </c>
      <c r="R732" s="17">
        <f>Bike_Sales[[#This Row],[Profit]]/Bike_Sales[[#This Row],[Total Sales]]</f>
        <v>0.36363636363636365</v>
      </c>
      <c r="S732" s="16" t="str">
        <f t="shared" si="11"/>
        <v>55+</v>
      </c>
    </row>
    <row r="733" spans="1:19" x14ac:dyDescent="0.35">
      <c r="A733" s="2">
        <v>44495</v>
      </c>
      <c r="B733" s="2" t="str">
        <f>TEXT(Bike_Sales[[#This Row],[Date]],"mmmm")</f>
        <v>October</v>
      </c>
      <c r="C733" s="19">
        <f>MONTH(Bike_Sales[[#This Row],[Date]])</f>
        <v>10</v>
      </c>
      <c r="D733" s="2" t="str">
        <f>TEXT(Bike_Sales[[#This Row],[Date]],"dddd")</f>
        <v>Tuesday</v>
      </c>
      <c r="E733" s="3">
        <v>57</v>
      </c>
      <c r="F733" s="3" t="s">
        <v>126</v>
      </c>
      <c r="G733" s="3" t="s">
        <v>18</v>
      </c>
      <c r="H733" s="3" t="s">
        <v>19</v>
      </c>
      <c r="I733" s="3" t="s">
        <v>11</v>
      </c>
      <c r="J733" s="3" t="s">
        <v>104</v>
      </c>
      <c r="K733" s="3" t="s">
        <v>68</v>
      </c>
      <c r="L733" s="4">
        <v>1</v>
      </c>
      <c r="M733" s="3">
        <v>500</v>
      </c>
      <c r="N733" s="3">
        <v>800</v>
      </c>
      <c r="O733" s="15">
        <f>Bike_Sales[[#This Row],[Order_Quantity]]*Bike_Sales[[#This Row],[Unit_Price]]</f>
        <v>800</v>
      </c>
      <c r="P733" s="15">
        <f>Bike_Sales[[#This Row],[Order_Quantity]]*Bike_Sales[[#This Row],[Unit_Cost]]</f>
        <v>500</v>
      </c>
      <c r="Q733" s="15">
        <f>Bike_Sales[[#This Row],[Total Sales]]-Bike_Sales[[#This Row],[Total Cost]]</f>
        <v>300</v>
      </c>
      <c r="R733" s="17">
        <f>Bike_Sales[[#This Row],[Profit]]/Bike_Sales[[#This Row],[Total Sales]]</f>
        <v>0.375</v>
      </c>
      <c r="S733" s="16" t="str">
        <f t="shared" si="11"/>
        <v>55+</v>
      </c>
    </row>
    <row r="734" spans="1:19" x14ac:dyDescent="0.35">
      <c r="A734" s="2">
        <v>44500</v>
      </c>
      <c r="B734" s="2" t="str">
        <f>TEXT(Bike_Sales[[#This Row],[Date]],"mmmm")</f>
        <v>October</v>
      </c>
      <c r="C734" s="19">
        <f>MONTH(Bike_Sales[[#This Row],[Date]])</f>
        <v>10</v>
      </c>
      <c r="D734" s="2" t="str">
        <f>TEXT(Bike_Sales[[#This Row],[Date]],"dddd")</f>
        <v>Sunday</v>
      </c>
      <c r="E734" s="3">
        <v>57</v>
      </c>
      <c r="F734" s="3" t="s">
        <v>126</v>
      </c>
      <c r="G734" s="3" t="s">
        <v>18</v>
      </c>
      <c r="H734" s="3" t="s">
        <v>35</v>
      </c>
      <c r="I734" s="3" t="s">
        <v>11</v>
      </c>
      <c r="J734" s="3" t="s">
        <v>104</v>
      </c>
      <c r="K734" s="3" t="s">
        <v>34</v>
      </c>
      <c r="L734" s="4">
        <v>1</v>
      </c>
      <c r="M734" s="3">
        <v>500</v>
      </c>
      <c r="N734" s="3">
        <v>800</v>
      </c>
      <c r="O734" s="15">
        <f>Bike_Sales[[#This Row],[Order_Quantity]]*Bike_Sales[[#This Row],[Unit_Price]]</f>
        <v>800</v>
      </c>
      <c r="P734" s="15">
        <f>Bike_Sales[[#This Row],[Order_Quantity]]*Bike_Sales[[#This Row],[Unit_Cost]]</f>
        <v>500</v>
      </c>
      <c r="Q734" s="15">
        <f>Bike_Sales[[#This Row],[Total Sales]]-Bike_Sales[[#This Row],[Total Cost]]</f>
        <v>300</v>
      </c>
      <c r="R734" s="17">
        <f>Bike_Sales[[#This Row],[Profit]]/Bike_Sales[[#This Row],[Total Sales]]</f>
        <v>0.375</v>
      </c>
      <c r="S734" s="16" t="str">
        <f t="shared" si="11"/>
        <v>55+</v>
      </c>
    </row>
    <row r="735" spans="1:19" x14ac:dyDescent="0.35">
      <c r="A735" s="2">
        <v>44530</v>
      </c>
      <c r="B735" s="2" t="str">
        <f>TEXT(Bike_Sales[[#This Row],[Date]],"mmmm")</f>
        <v>November</v>
      </c>
      <c r="C735" s="19">
        <f>MONTH(Bike_Sales[[#This Row],[Date]])</f>
        <v>11</v>
      </c>
      <c r="D735" s="2" t="str">
        <f>TEXT(Bike_Sales[[#This Row],[Date]],"dddd")</f>
        <v>Tuesday</v>
      </c>
      <c r="E735" s="3">
        <v>57</v>
      </c>
      <c r="F735" s="3" t="s">
        <v>126</v>
      </c>
      <c r="G735" s="3" t="s">
        <v>9</v>
      </c>
      <c r="H735" s="3" t="s">
        <v>10</v>
      </c>
      <c r="I735" s="3" t="s">
        <v>11</v>
      </c>
      <c r="J735" s="3" t="s">
        <v>102</v>
      </c>
      <c r="K735" s="3" t="s">
        <v>36</v>
      </c>
      <c r="L735" s="4">
        <v>1</v>
      </c>
      <c r="M735" s="3">
        <v>580</v>
      </c>
      <c r="N735" s="3">
        <v>920</v>
      </c>
      <c r="O735" s="15">
        <f>Bike_Sales[[#This Row],[Order_Quantity]]*Bike_Sales[[#This Row],[Unit_Price]]</f>
        <v>920</v>
      </c>
      <c r="P735" s="15">
        <f>Bike_Sales[[#This Row],[Order_Quantity]]*Bike_Sales[[#This Row],[Unit_Cost]]</f>
        <v>580</v>
      </c>
      <c r="Q735" s="15">
        <f>Bike_Sales[[#This Row],[Total Sales]]-Bike_Sales[[#This Row],[Total Cost]]</f>
        <v>340</v>
      </c>
      <c r="R735" s="17">
        <f>Bike_Sales[[#This Row],[Profit]]/Bike_Sales[[#This Row],[Total Sales]]</f>
        <v>0.36956521739130432</v>
      </c>
      <c r="S735" s="16" t="str">
        <f t="shared" si="11"/>
        <v>55+</v>
      </c>
    </row>
    <row r="736" spans="1:19" x14ac:dyDescent="0.35">
      <c r="A736" s="2">
        <v>44535</v>
      </c>
      <c r="B736" s="2" t="str">
        <f>TEXT(Bike_Sales[[#This Row],[Date]],"mmmm")</f>
        <v>December</v>
      </c>
      <c r="C736" s="19">
        <f>MONTH(Bike_Sales[[#This Row],[Date]])</f>
        <v>12</v>
      </c>
      <c r="D736" s="2" t="str">
        <f>TEXT(Bike_Sales[[#This Row],[Date]],"dddd")</f>
        <v>Sunday</v>
      </c>
      <c r="E736" s="3">
        <v>57</v>
      </c>
      <c r="F736" s="3" t="s">
        <v>126</v>
      </c>
      <c r="G736" s="3" t="s">
        <v>18</v>
      </c>
      <c r="H736" s="3" t="s">
        <v>24</v>
      </c>
      <c r="I736" s="3" t="s">
        <v>11</v>
      </c>
      <c r="J736" s="3" t="s">
        <v>102</v>
      </c>
      <c r="K736" s="3" t="s">
        <v>29</v>
      </c>
      <c r="L736" s="4">
        <v>1</v>
      </c>
      <c r="M736" s="3">
        <v>900</v>
      </c>
      <c r="N736" s="3">
        <v>1400</v>
      </c>
      <c r="O736" s="15">
        <f>Bike_Sales[[#This Row],[Order_Quantity]]*Bike_Sales[[#This Row],[Unit_Price]]</f>
        <v>1400</v>
      </c>
      <c r="P736" s="15">
        <f>Bike_Sales[[#This Row],[Order_Quantity]]*Bike_Sales[[#This Row],[Unit_Cost]]</f>
        <v>900</v>
      </c>
      <c r="Q736" s="15">
        <f>Bike_Sales[[#This Row],[Total Sales]]-Bike_Sales[[#This Row],[Total Cost]]</f>
        <v>500</v>
      </c>
      <c r="R736" s="17">
        <f>Bike_Sales[[#This Row],[Profit]]/Bike_Sales[[#This Row],[Total Sales]]</f>
        <v>0.35714285714285715</v>
      </c>
      <c r="S736" s="16" t="str">
        <f t="shared" si="11"/>
        <v>55+</v>
      </c>
    </row>
    <row r="737" spans="1:19" x14ac:dyDescent="0.35">
      <c r="A737" s="2">
        <v>44549</v>
      </c>
      <c r="B737" s="2" t="str">
        <f>TEXT(Bike_Sales[[#This Row],[Date]],"mmmm")</f>
        <v>December</v>
      </c>
      <c r="C737" s="19">
        <f>MONTH(Bike_Sales[[#This Row],[Date]])</f>
        <v>12</v>
      </c>
      <c r="D737" s="2" t="str">
        <f>TEXT(Bike_Sales[[#This Row],[Date]],"dddd")</f>
        <v>Sunday</v>
      </c>
      <c r="E737" s="3">
        <v>57</v>
      </c>
      <c r="F737" s="3" t="s">
        <v>135</v>
      </c>
      <c r="G737" s="3" t="s">
        <v>18</v>
      </c>
      <c r="H737" s="3" t="s">
        <v>24</v>
      </c>
      <c r="I737" s="3" t="s">
        <v>11</v>
      </c>
      <c r="J737" s="3" t="s">
        <v>104</v>
      </c>
      <c r="K737" s="3" t="s">
        <v>51</v>
      </c>
      <c r="L737" s="4">
        <v>1</v>
      </c>
      <c r="M737" s="3">
        <v>530</v>
      </c>
      <c r="N737" s="3">
        <v>840</v>
      </c>
      <c r="O737" s="15">
        <f>Bike_Sales[[#This Row],[Order_Quantity]]*Bike_Sales[[#This Row],[Unit_Price]]</f>
        <v>840</v>
      </c>
      <c r="P737" s="15">
        <f>Bike_Sales[[#This Row],[Order_Quantity]]*Bike_Sales[[#This Row],[Unit_Cost]]</f>
        <v>530</v>
      </c>
      <c r="Q737" s="15">
        <f>Bike_Sales[[#This Row],[Total Sales]]-Bike_Sales[[#This Row],[Total Cost]]</f>
        <v>310</v>
      </c>
      <c r="R737" s="17">
        <f>Bike_Sales[[#This Row],[Profit]]/Bike_Sales[[#This Row],[Total Sales]]</f>
        <v>0.36904761904761907</v>
      </c>
      <c r="S737" s="16" t="str">
        <f t="shared" si="11"/>
        <v>55+</v>
      </c>
    </row>
    <row r="738" spans="1:19" x14ac:dyDescent="0.35">
      <c r="A738" s="2">
        <v>44550</v>
      </c>
      <c r="B738" s="2" t="str">
        <f>TEXT(Bike_Sales[[#This Row],[Date]],"mmmm")</f>
        <v>December</v>
      </c>
      <c r="C738" s="19">
        <f>MONTH(Bike_Sales[[#This Row],[Date]])</f>
        <v>12</v>
      </c>
      <c r="D738" s="2" t="str">
        <f>TEXT(Bike_Sales[[#This Row],[Date]],"dddd")</f>
        <v>Monday</v>
      </c>
      <c r="E738" s="3">
        <v>57</v>
      </c>
      <c r="F738" s="3" t="s">
        <v>126</v>
      </c>
      <c r="G738" s="3" t="s">
        <v>18</v>
      </c>
      <c r="H738" s="3" t="s">
        <v>19</v>
      </c>
      <c r="I738" s="3" t="s">
        <v>16</v>
      </c>
      <c r="J738" s="3" t="s">
        <v>101</v>
      </c>
      <c r="K738" s="3" t="s">
        <v>49</v>
      </c>
      <c r="L738" s="4">
        <v>4</v>
      </c>
      <c r="M738" s="3">
        <v>550</v>
      </c>
      <c r="N738" s="3">
        <v>850</v>
      </c>
      <c r="O738" s="15">
        <f>Bike_Sales[[#This Row],[Order_Quantity]]*Bike_Sales[[#This Row],[Unit_Price]]</f>
        <v>3400</v>
      </c>
      <c r="P738" s="15">
        <f>Bike_Sales[[#This Row],[Order_Quantity]]*Bike_Sales[[#This Row],[Unit_Cost]]</f>
        <v>2200</v>
      </c>
      <c r="Q738" s="15">
        <f>Bike_Sales[[#This Row],[Total Sales]]-Bike_Sales[[#This Row],[Total Cost]]</f>
        <v>1200</v>
      </c>
      <c r="R738" s="17">
        <f>Bike_Sales[[#This Row],[Profit]]/Bike_Sales[[#This Row],[Total Sales]]</f>
        <v>0.35294117647058826</v>
      </c>
      <c r="S738" s="16" t="str">
        <f t="shared" si="11"/>
        <v>55+</v>
      </c>
    </row>
    <row r="739" spans="1:19" x14ac:dyDescent="0.35">
      <c r="A739" s="2">
        <v>44553</v>
      </c>
      <c r="B739" s="2" t="str">
        <f>TEXT(Bike_Sales[[#This Row],[Date]],"mmmm")</f>
        <v>December</v>
      </c>
      <c r="C739" s="19">
        <f>MONTH(Bike_Sales[[#This Row],[Date]])</f>
        <v>12</v>
      </c>
      <c r="D739" s="2" t="str">
        <f>TEXT(Bike_Sales[[#This Row],[Date]],"dddd")</f>
        <v>Thursday</v>
      </c>
      <c r="E739" s="3">
        <v>57</v>
      </c>
      <c r="F739" s="3" t="s">
        <v>135</v>
      </c>
      <c r="G739" s="3" t="s">
        <v>18</v>
      </c>
      <c r="H739" s="3" t="s">
        <v>19</v>
      </c>
      <c r="I739" s="3" t="s">
        <v>11</v>
      </c>
      <c r="J739" s="3" t="s">
        <v>102</v>
      </c>
      <c r="K739" s="3" t="s">
        <v>29</v>
      </c>
      <c r="L739" s="4">
        <v>1</v>
      </c>
      <c r="M739" s="3">
        <v>900</v>
      </c>
      <c r="N739" s="3">
        <v>1400</v>
      </c>
      <c r="O739" s="15">
        <f>Bike_Sales[[#This Row],[Order_Quantity]]*Bike_Sales[[#This Row],[Unit_Price]]</f>
        <v>1400</v>
      </c>
      <c r="P739" s="15">
        <f>Bike_Sales[[#This Row],[Order_Quantity]]*Bike_Sales[[#This Row],[Unit_Cost]]</f>
        <v>900</v>
      </c>
      <c r="Q739" s="15">
        <f>Bike_Sales[[#This Row],[Total Sales]]-Bike_Sales[[#This Row],[Total Cost]]</f>
        <v>500</v>
      </c>
      <c r="R739" s="17">
        <f>Bike_Sales[[#This Row],[Profit]]/Bike_Sales[[#This Row],[Total Sales]]</f>
        <v>0.35714285714285715</v>
      </c>
      <c r="S739" s="16" t="str">
        <f t="shared" si="11"/>
        <v>55+</v>
      </c>
    </row>
    <row r="740" spans="1:19" x14ac:dyDescent="0.35">
      <c r="A740" s="2">
        <v>44504</v>
      </c>
      <c r="B740" s="2" t="str">
        <f>TEXT(Bike_Sales[[#This Row],[Date]],"mmmm")</f>
        <v>November</v>
      </c>
      <c r="C740" s="19">
        <f>MONTH(Bike_Sales[[#This Row],[Date]])</f>
        <v>11</v>
      </c>
      <c r="D740" s="2" t="str">
        <f>TEXT(Bike_Sales[[#This Row],[Date]],"dddd")</f>
        <v>Thursday</v>
      </c>
      <c r="E740" s="3">
        <v>58</v>
      </c>
      <c r="F740" s="3" t="s">
        <v>135</v>
      </c>
      <c r="G740" s="3" t="s">
        <v>9</v>
      </c>
      <c r="H740" s="3" t="s">
        <v>69</v>
      </c>
      <c r="I740" s="3" t="s">
        <v>11</v>
      </c>
      <c r="J740" s="3" t="s">
        <v>101</v>
      </c>
      <c r="K740" s="3" t="s">
        <v>46</v>
      </c>
      <c r="L740" s="4">
        <v>1</v>
      </c>
      <c r="M740" s="3">
        <v>580</v>
      </c>
      <c r="N740" s="3">
        <v>920</v>
      </c>
      <c r="O740" s="15">
        <f>Bike_Sales[[#This Row],[Order_Quantity]]*Bike_Sales[[#This Row],[Unit_Price]]</f>
        <v>920</v>
      </c>
      <c r="P740" s="15">
        <f>Bike_Sales[[#This Row],[Order_Quantity]]*Bike_Sales[[#This Row],[Unit_Cost]]</f>
        <v>580</v>
      </c>
      <c r="Q740" s="15">
        <f>Bike_Sales[[#This Row],[Total Sales]]-Bike_Sales[[#This Row],[Total Cost]]</f>
        <v>340</v>
      </c>
      <c r="R740" s="17">
        <f>Bike_Sales[[#This Row],[Profit]]/Bike_Sales[[#This Row],[Total Sales]]</f>
        <v>0.36956521739130432</v>
      </c>
      <c r="S740" s="16" t="str">
        <f t="shared" si="11"/>
        <v>55+</v>
      </c>
    </row>
    <row r="741" spans="1:19" x14ac:dyDescent="0.35">
      <c r="A741" s="2">
        <v>44528</v>
      </c>
      <c r="B741" s="2" t="str">
        <f>TEXT(Bike_Sales[[#This Row],[Date]],"mmmm")</f>
        <v>November</v>
      </c>
      <c r="C741" s="19">
        <f>MONTH(Bike_Sales[[#This Row],[Date]])</f>
        <v>11</v>
      </c>
      <c r="D741" s="2" t="str">
        <f>TEXT(Bike_Sales[[#This Row],[Date]],"dddd")</f>
        <v>Sunday</v>
      </c>
      <c r="E741" s="3">
        <v>59</v>
      </c>
      <c r="F741" s="3" t="s">
        <v>135</v>
      </c>
      <c r="G741" s="3" t="s">
        <v>129</v>
      </c>
      <c r="H741" s="3" t="s">
        <v>15</v>
      </c>
      <c r="I741" s="3" t="s">
        <v>11</v>
      </c>
      <c r="J741" s="3" t="s">
        <v>102</v>
      </c>
      <c r="K741" s="3" t="s">
        <v>62</v>
      </c>
      <c r="L741" s="4">
        <v>2</v>
      </c>
      <c r="M741" s="3">
        <v>580</v>
      </c>
      <c r="N741" s="3">
        <v>920</v>
      </c>
      <c r="O741" s="15">
        <f>Bike_Sales[[#This Row],[Order_Quantity]]*Bike_Sales[[#This Row],[Unit_Price]]</f>
        <v>1840</v>
      </c>
      <c r="P741" s="15">
        <f>Bike_Sales[[#This Row],[Order_Quantity]]*Bike_Sales[[#This Row],[Unit_Cost]]</f>
        <v>1160</v>
      </c>
      <c r="Q741" s="15">
        <f>Bike_Sales[[#This Row],[Total Sales]]-Bike_Sales[[#This Row],[Total Cost]]</f>
        <v>680</v>
      </c>
      <c r="R741" s="17">
        <f>Bike_Sales[[#This Row],[Profit]]/Bike_Sales[[#This Row],[Total Sales]]</f>
        <v>0.36956521739130432</v>
      </c>
      <c r="S741" s="16" t="str">
        <f t="shared" si="11"/>
        <v>55+</v>
      </c>
    </row>
    <row r="742" spans="1:19" x14ac:dyDescent="0.35">
      <c r="A742" s="2">
        <v>44533</v>
      </c>
      <c r="B742" s="2" t="str">
        <f>TEXT(Bike_Sales[[#This Row],[Date]],"mmmm")</f>
        <v>December</v>
      </c>
      <c r="C742" s="19">
        <f>MONTH(Bike_Sales[[#This Row],[Date]])</f>
        <v>12</v>
      </c>
      <c r="D742" s="2" t="str">
        <f>TEXT(Bike_Sales[[#This Row],[Date]],"dddd")</f>
        <v>Friday</v>
      </c>
      <c r="E742" s="3">
        <v>59</v>
      </c>
      <c r="F742" s="3" t="s">
        <v>135</v>
      </c>
      <c r="G742" s="3" t="s">
        <v>129</v>
      </c>
      <c r="H742" s="3" t="s">
        <v>15</v>
      </c>
      <c r="I742" s="3" t="s">
        <v>11</v>
      </c>
      <c r="J742" s="3" t="s">
        <v>102</v>
      </c>
      <c r="K742" s="3" t="s">
        <v>62</v>
      </c>
      <c r="L742" s="4">
        <v>4</v>
      </c>
      <c r="M742" s="3">
        <v>580</v>
      </c>
      <c r="N742" s="3">
        <v>920</v>
      </c>
      <c r="O742" s="15">
        <f>Bike_Sales[[#This Row],[Order_Quantity]]*Bike_Sales[[#This Row],[Unit_Price]]</f>
        <v>3680</v>
      </c>
      <c r="P742" s="15">
        <f>Bike_Sales[[#This Row],[Order_Quantity]]*Bike_Sales[[#This Row],[Unit_Cost]]</f>
        <v>2320</v>
      </c>
      <c r="Q742" s="15">
        <f>Bike_Sales[[#This Row],[Total Sales]]-Bike_Sales[[#This Row],[Total Cost]]</f>
        <v>1360</v>
      </c>
      <c r="R742" s="17">
        <f>Bike_Sales[[#This Row],[Profit]]/Bike_Sales[[#This Row],[Total Sales]]</f>
        <v>0.36956521739130432</v>
      </c>
      <c r="S742" s="16" t="str">
        <f t="shared" si="11"/>
        <v>55+</v>
      </c>
    </row>
    <row r="743" spans="1:19" x14ac:dyDescent="0.35">
      <c r="A743" s="2">
        <v>44513</v>
      </c>
      <c r="B743" s="2" t="str">
        <f>TEXT(Bike_Sales[[#This Row],[Date]],"mmmm")</f>
        <v>November</v>
      </c>
      <c r="C743" s="19">
        <f>MONTH(Bike_Sales[[#This Row],[Date]])</f>
        <v>11</v>
      </c>
      <c r="D743" s="2" t="str">
        <f>TEXT(Bike_Sales[[#This Row],[Date]],"dddd")</f>
        <v>Saturday</v>
      </c>
      <c r="E743" s="3">
        <v>60</v>
      </c>
      <c r="F743" s="3" t="s">
        <v>126</v>
      </c>
      <c r="G743" s="3" t="s">
        <v>9</v>
      </c>
      <c r="H743" s="3" t="s">
        <v>10</v>
      </c>
      <c r="I743" s="3" t="s">
        <v>11</v>
      </c>
      <c r="J743" s="3" t="s">
        <v>102</v>
      </c>
      <c r="K743" s="3" t="s">
        <v>43</v>
      </c>
      <c r="L743" s="4">
        <v>1</v>
      </c>
      <c r="M743" s="3">
        <v>900</v>
      </c>
      <c r="N743" s="3">
        <v>1400</v>
      </c>
      <c r="O743" s="15">
        <f>Bike_Sales[[#This Row],[Order_Quantity]]*Bike_Sales[[#This Row],[Unit_Price]]</f>
        <v>1400</v>
      </c>
      <c r="P743" s="15">
        <f>Bike_Sales[[#This Row],[Order_Quantity]]*Bike_Sales[[#This Row],[Unit_Cost]]</f>
        <v>900</v>
      </c>
      <c r="Q743" s="15">
        <f>Bike_Sales[[#This Row],[Total Sales]]-Bike_Sales[[#This Row],[Total Cost]]</f>
        <v>500</v>
      </c>
      <c r="R743" s="17">
        <f>Bike_Sales[[#This Row],[Profit]]/Bike_Sales[[#This Row],[Total Sales]]</f>
        <v>0.35714285714285715</v>
      </c>
      <c r="S743" s="16" t="str">
        <f t="shared" si="11"/>
        <v>55+</v>
      </c>
    </row>
    <row r="744" spans="1:19" x14ac:dyDescent="0.35">
      <c r="A744" s="2">
        <v>44530</v>
      </c>
      <c r="B744" s="2" t="str">
        <f>TEXT(Bike_Sales[[#This Row],[Date]],"mmmm")</f>
        <v>November</v>
      </c>
      <c r="C744" s="19">
        <f>MONTH(Bike_Sales[[#This Row],[Date]])</f>
        <v>11</v>
      </c>
      <c r="D744" s="2" t="str">
        <f>TEXT(Bike_Sales[[#This Row],[Date]],"dddd")</f>
        <v>Tuesday</v>
      </c>
      <c r="E744" s="3">
        <v>60</v>
      </c>
      <c r="F744" s="3" t="s">
        <v>135</v>
      </c>
      <c r="G744" s="3" t="s">
        <v>9</v>
      </c>
      <c r="H744" s="3" t="s">
        <v>10</v>
      </c>
      <c r="I744" s="3" t="s">
        <v>11</v>
      </c>
      <c r="J744" s="3" t="s">
        <v>104</v>
      </c>
      <c r="K744" s="3" t="s">
        <v>77</v>
      </c>
      <c r="L744" s="4">
        <v>4</v>
      </c>
      <c r="M744" s="3">
        <v>500</v>
      </c>
      <c r="N744" s="3">
        <v>800</v>
      </c>
      <c r="O744" s="15">
        <f>Bike_Sales[[#This Row],[Order_Quantity]]*Bike_Sales[[#This Row],[Unit_Price]]</f>
        <v>3200</v>
      </c>
      <c r="P744" s="15">
        <f>Bike_Sales[[#This Row],[Order_Quantity]]*Bike_Sales[[#This Row],[Unit_Cost]]</f>
        <v>2000</v>
      </c>
      <c r="Q744" s="15">
        <f>Bike_Sales[[#This Row],[Total Sales]]-Bike_Sales[[#This Row],[Total Cost]]</f>
        <v>1200</v>
      </c>
      <c r="R744" s="17">
        <f>Bike_Sales[[#This Row],[Profit]]/Bike_Sales[[#This Row],[Total Sales]]</f>
        <v>0.375</v>
      </c>
      <c r="S744" s="16" t="str">
        <f t="shared" si="11"/>
        <v>55+</v>
      </c>
    </row>
    <row r="745" spans="1:19" x14ac:dyDescent="0.35">
      <c r="A745" s="2">
        <v>44535</v>
      </c>
      <c r="B745" s="2" t="str">
        <f>TEXT(Bike_Sales[[#This Row],[Date]],"mmmm")</f>
        <v>December</v>
      </c>
      <c r="C745" s="19">
        <f>MONTH(Bike_Sales[[#This Row],[Date]])</f>
        <v>12</v>
      </c>
      <c r="D745" s="2" t="str">
        <f>TEXT(Bike_Sales[[#This Row],[Date]],"dddd")</f>
        <v>Sunday</v>
      </c>
      <c r="E745" s="3">
        <v>60</v>
      </c>
      <c r="F745" s="3" t="s">
        <v>126</v>
      </c>
      <c r="G745" s="3" t="s">
        <v>9</v>
      </c>
      <c r="H745" s="3" t="s">
        <v>10</v>
      </c>
      <c r="I745" s="3" t="s">
        <v>11</v>
      </c>
      <c r="J745" s="3" t="s">
        <v>102</v>
      </c>
      <c r="K745" s="3" t="s">
        <v>43</v>
      </c>
      <c r="L745" s="4">
        <v>4</v>
      </c>
      <c r="M745" s="3">
        <v>900</v>
      </c>
      <c r="N745" s="3">
        <v>1400</v>
      </c>
      <c r="O745" s="15">
        <f>Bike_Sales[[#This Row],[Order_Quantity]]*Bike_Sales[[#This Row],[Unit_Price]]</f>
        <v>5600</v>
      </c>
      <c r="P745" s="15">
        <f>Bike_Sales[[#This Row],[Order_Quantity]]*Bike_Sales[[#This Row],[Unit_Cost]]</f>
        <v>3600</v>
      </c>
      <c r="Q745" s="15">
        <f>Bike_Sales[[#This Row],[Total Sales]]-Bike_Sales[[#This Row],[Total Cost]]</f>
        <v>2000</v>
      </c>
      <c r="R745" s="17">
        <f>Bike_Sales[[#This Row],[Profit]]/Bike_Sales[[#This Row],[Total Sales]]</f>
        <v>0.35714285714285715</v>
      </c>
      <c r="S745" s="16" t="str">
        <f t="shared" si="11"/>
        <v>55+</v>
      </c>
    </row>
    <row r="746" spans="1:19" x14ac:dyDescent="0.35">
      <c r="A746" s="2">
        <v>44489</v>
      </c>
      <c r="B746" s="2" t="str">
        <f>TEXT(Bike_Sales[[#This Row],[Date]],"mmmm")</f>
        <v>October</v>
      </c>
      <c r="C746" s="19">
        <f>MONTH(Bike_Sales[[#This Row],[Date]])</f>
        <v>10</v>
      </c>
      <c r="D746" s="2" t="str">
        <f>TEXT(Bike_Sales[[#This Row],[Date]],"dddd")</f>
        <v>Wednesday</v>
      </c>
      <c r="E746" s="3">
        <v>61</v>
      </c>
      <c r="F746" s="3" t="s">
        <v>126</v>
      </c>
      <c r="G746" s="3" t="s">
        <v>9</v>
      </c>
      <c r="H746" s="3" t="s">
        <v>37</v>
      </c>
      <c r="I746" s="3" t="s">
        <v>11</v>
      </c>
      <c r="J746" s="3" t="s">
        <v>101</v>
      </c>
      <c r="K746" s="3" t="s">
        <v>54</v>
      </c>
      <c r="L746" s="4">
        <v>1</v>
      </c>
      <c r="M746" s="3">
        <v>580</v>
      </c>
      <c r="N746" s="3">
        <v>920</v>
      </c>
      <c r="O746" s="15">
        <f>Bike_Sales[[#This Row],[Order_Quantity]]*Bike_Sales[[#This Row],[Unit_Price]]</f>
        <v>920</v>
      </c>
      <c r="P746" s="15">
        <f>Bike_Sales[[#This Row],[Order_Quantity]]*Bike_Sales[[#This Row],[Unit_Cost]]</f>
        <v>580</v>
      </c>
      <c r="Q746" s="15">
        <f>Bike_Sales[[#This Row],[Total Sales]]-Bike_Sales[[#This Row],[Total Cost]]</f>
        <v>340</v>
      </c>
      <c r="R746" s="17">
        <f>Bike_Sales[[#This Row],[Profit]]/Bike_Sales[[#This Row],[Total Sales]]</f>
        <v>0.36956521739130432</v>
      </c>
      <c r="S746" s="16" t="str">
        <f t="shared" si="11"/>
        <v>55+</v>
      </c>
    </row>
    <row r="747" spans="1:19" x14ac:dyDescent="0.35">
      <c r="A747" s="2">
        <v>44490</v>
      </c>
      <c r="B747" s="2" t="str">
        <f>TEXT(Bike_Sales[[#This Row],[Date]],"mmmm")</f>
        <v>October</v>
      </c>
      <c r="C747" s="19">
        <f>MONTH(Bike_Sales[[#This Row],[Date]])</f>
        <v>10</v>
      </c>
      <c r="D747" s="2" t="str">
        <f>TEXT(Bike_Sales[[#This Row],[Date]],"dddd")</f>
        <v>Thursday</v>
      </c>
      <c r="E747" s="3">
        <v>61</v>
      </c>
      <c r="F747" s="3" t="s">
        <v>135</v>
      </c>
      <c r="G747" s="3" t="s">
        <v>9</v>
      </c>
      <c r="H747" s="3" t="s">
        <v>10</v>
      </c>
      <c r="I747" s="3" t="s">
        <v>11</v>
      </c>
      <c r="J747" s="3" t="s">
        <v>102</v>
      </c>
      <c r="K747" s="3" t="s">
        <v>29</v>
      </c>
      <c r="L747" s="4">
        <v>2</v>
      </c>
      <c r="M747" s="3">
        <v>900</v>
      </c>
      <c r="N747" s="3">
        <v>1400</v>
      </c>
      <c r="O747" s="15">
        <f>Bike_Sales[[#This Row],[Order_Quantity]]*Bike_Sales[[#This Row],[Unit_Price]]</f>
        <v>2800</v>
      </c>
      <c r="P747" s="15">
        <f>Bike_Sales[[#This Row],[Order_Quantity]]*Bike_Sales[[#This Row],[Unit_Cost]]</f>
        <v>1800</v>
      </c>
      <c r="Q747" s="15">
        <f>Bike_Sales[[#This Row],[Total Sales]]-Bike_Sales[[#This Row],[Total Cost]]</f>
        <v>1000</v>
      </c>
      <c r="R747" s="17">
        <f>Bike_Sales[[#This Row],[Profit]]/Bike_Sales[[#This Row],[Total Sales]]</f>
        <v>0.35714285714285715</v>
      </c>
      <c r="S747" s="16" t="str">
        <f t="shared" si="11"/>
        <v>55+</v>
      </c>
    </row>
    <row r="748" spans="1:19" x14ac:dyDescent="0.35">
      <c r="A748" s="2">
        <v>44526</v>
      </c>
      <c r="B748" s="2" t="str">
        <f>TEXT(Bike_Sales[[#This Row],[Date]],"mmmm")</f>
        <v>November</v>
      </c>
      <c r="C748" s="19">
        <f>MONTH(Bike_Sales[[#This Row],[Date]])</f>
        <v>11</v>
      </c>
      <c r="D748" s="2" t="str">
        <f>TEXT(Bike_Sales[[#This Row],[Date]],"dddd")</f>
        <v>Friday</v>
      </c>
      <c r="E748" s="3">
        <v>61</v>
      </c>
      <c r="F748" s="3" t="s">
        <v>135</v>
      </c>
      <c r="G748" s="3" t="s">
        <v>9</v>
      </c>
      <c r="H748" s="3" t="s">
        <v>10</v>
      </c>
      <c r="I748" s="3" t="s">
        <v>11</v>
      </c>
      <c r="J748" s="3" t="s">
        <v>102</v>
      </c>
      <c r="K748" s="3" t="s">
        <v>29</v>
      </c>
      <c r="L748" s="4">
        <v>1</v>
      </c>
      <c r="M748" s="3">
        <v>900</v>
      </c>
      <c r="N748" s="3">
        <v>1400</v>
      </c>
      <c r="O748" s="15">
        <f>Bike_Sales[[#This Row],[Order_Quantity]]*Bike_Sales[[#This Row],[Unit_Price]]</f>
        <v>1400</v>
      </c>
      <c r="P748" s="15">
        <f>Bike_Sales[[#This Row],[Order_Quantity]]*Bike_Sales[[#This Row],[Unit_Cost]]</f>
        <v>900</v>
      </c>
      <c r="Q748" s="15">
        <f>Bike_Sales[[#This Row],[Total Sales]]-Bike_Sales[[#This Row],[Total Cost]]</f>
        <v>500</v>
      </c>
      <c r="R748" s="17">
        <f>Bike_Sales[[#This Row],[Profit]]/Bike_Sales[[#This Row],[Total Sales]]</f>
        <v>0.35714285714285715</v>
      </c>
      <c r="S748" s="16" t="str">
        <f t="shared" si="11"/>
        <v>55+</v>
      </c>
    </row>
    <row r="749" spans="1:19" x14ac:dyDescent="0.35">
      <c r="A749" s="2">
        <v>44470</v>
      </c>
      <c r="B749" s="2" t="str">
        <f>TEXT(Bike_Sales[[#This Row],[Date]],"mmmm")</f>
        <v>October</v>
      </c>
      <c r="C749" s="19">
        <f>MONTH(Bike_Sales[[#This Row],[Date]])</f>
        <v>10</v>
      </c>
      <c r="D749" s="2" t="str">
        <f>TEXT(Bike_Sales[[#This Row],[Date]],"dddd")</f>
        <v>Friday</v>
      </c>
      <c r="E749" s="3">
        <v>62</v>
      </c>
      <c r="F749" s="3" t="s">
        <v>126</v>
      </c>
      <c r="G749" s="3" t="s">
        <v>9</v>
      </c>
      <c r="H749" s="3" t="s">
        <v>10</v>
      </c>
      <c r="I749" s="3" t="s">
        <v>11</v>
      </c>
      <c r="J749" s="3" t="s">
        <v>102</v>
      </c>
      <c r="K749" s="3" t="s">
        <v>26</v>
      </c>
      <c r="L749" s="4">
        <v>1</v>
      </c>
      <c r="M749" s="3">
        <v>900</v>
      </c>
      <c r="N749" s="3">
        <v>1400</v>
      </c>
      <c r="O749" s="15">
        <f>Bike_Sales[[#This Row],[Order_Quantity]]*Bike_Sales[[#This Row],[Unit_Price]]</f>
        <v>1400</v>
      </c>
      <c r="P749" s="15">
        <f>Bike_Sales[[#This Row],[Order_Quantity]]*Bike_Sales[[#This Row],[Unit_Cost]]</f>
        <v>900</v>
      </c>
      <c r="Q749" s="15">
        <f>Bike_Sales[[#This Row],[Total Sales]]-Bike_Sales[[#This Row],[Total Cost]]</f>
        <v>500</v>
      </c>
      <c r="R749" s="17">
        <f>Bike_Sales[[#This Row],[Profit]]/Bike_Sales[[#This Row],[Total Sales]]</f>
        <v>0.35714285714285715</v>
      </c>
      <c r="S749" s="16" t="str">
        <f t="shared" si="11"/>
        <v>55+</v>
      </c>
    </row>
    <row r="750" spans="1:19" x14ac:dyDescent="0.35">
      <c r="A750" s="2">
        <v>44509</v>
      </c>
      <c r="B750" s="2" t="str">
        <f>TEXT(Bike_Sales[[#This Row],[Date]],"mmmm")</f>
        <v>November</v>
      </c>
      <c r="C750" s="19">
        <f>MONTH(Bike_Sales[[#This Row],[Date]])</f>
        <v>11</v>
      </c>
      <c r="D750" s="2" t="str">
        <f>TEXT(Bike_Sales[[#This Row],[Date]],"dddd")</f>
        <v>Tuesday</v>
      </c>
      <c r="E750" s="3">
        <v>63</v>
      </c>
      <c r="F750" s="3" t="s">
        <v>135</v>
      </c>
      <c r="G750" s="3" t="s">
        <v>9</v>
      </c>
      <c r="H750" s="3" t="s">
        <v>10</v>
      </c>
      <c r="I750" s="3" t="s">
        <v>11</v>
      </c>
      <c r="J750" s="3" t="s">
        <v>101</v>
      </c>
      <c r="K750" s="3" t="s">
        <v>31</v>
      </c>
      <c r="L750" s="4">
        <v>4</v>
      </c>
      <c r="M750" s="3">
        <v>580</v>
      </c>
      <c r="N750" s="3">
        <v>920</v>
      </c>
      <c r="O750" s="15">
        <f>Bike_Sales[[#This Row],[Order_Quantity]]*Bike_Sales[[#This Row],[Unit_Price]]</f>
        <v>3680</v>
      </c>
      <c r="P750" s="15">
        <f>Bike_Sales[[#This Row],[Order_Quantity]]*Bike_Sales[[#This Row],[Unit_Cost]]</f>
        <v>2320</v>
      </c>
      <c r="Q750" s="15">
        <f>Bike_Sales[[#This Row],[Total Sales]]-Bike_Sales[[#This Row],[Total Cost]]</f>
        <v>1360</v>
      </c>
      <c r="R750" s="17">
        <f>Bike_Sales[[#This Row],[Profit]]/Bike_Sales[[#This Row],[Total Sales]]</f>
        <v>0.36956521739130432</v>
      </c>
      <c r="S750" s="16" t="str">
        <f t="shared" si="11"/>
        <v>55+</v>
      </c>
    </row>
    <row r="751" spans="1:19" x14ac:dyDescent="0.35">
      <c r="A751" s="2">
        <v>44549</v>
      </c>
      <c r="B751" s="2" t="str">
        <f>TEXT(Bike_Sales[[#This Row],[Date]],"mmmm")</f>
        <v>December</v>
      </c>
      <c r="C751" s="19">
        <f>MONTH(Bike_Sales[[#This Row],[Date]])</f>
        <v>12</v>
      </c>
      <c r="D751" s="2" t="str">
        <f>TEXT(Bike_Sales[[#This Row],[Date]],"dddd")</f>
        <v>Sunday</v>
      </c>
      <c r="E751" s="3">
        <v>63</v>
      </c>
      <c r="F751" s="3" t="s">
        <v>135</v>
      </c>
      <c r="G751" s="3" t="s">
        <v>18</v>
      </c>
      <c r="H751" s="3" t="s">
        <v>19</v>
      </c>
      <c r="I751" s="3" t="s">
        <v>16</v>
      </c>
      <c r="J751" s="3" t="s">
        <v>101</v>
      </c>
      <c r="K751" s="3" t="s">
        <v>49</v>
      </c>
      <c r="L751" s="4">
        <v>4</v>
      </c>
      <c r="M751" s="3">
        <v>550</v>
      </c>
      <c r="N751" s="3">
        <v>850</v>
      </c>
      <c r="O751" s="15">
        <f>Bike_Sales[[#This Row],[Order_Quantity]]*Bike_Sales[[#This Row],[Unit_Price]]</f>
        <v>3400</v>
      </c>
      <c r="P751" s="15">
        <f>Bike_Sales[[#This Row],[Order_Quantity]]*Bike_Sales[[#This Row],[Unit_Cost]]</f>
        <v>2200</v>
      </c>
      <c r="Q751" s="15">
        <f>Bike_Sales[[#This Row],[Total Sales]]-Bike_Sales[[#This Row],[Total Cost]]</f>
        <v>1200</v>
      </c>
      <c r="R751" s="17">
        <f>Bike_Sales[[#This Row],[Profit]]/Bike_Sales[[#This Row],[Total Sales]]</f>
        <v>0.35294117647058826</v>
      </c>
      <c r="S751" s="16" t="str">
        <f t="shared" si="11"/>
        <v>55+</v>
      </c>
    </row>
    <row r="752" spans="1:19" x14ac:dyDescent="0.35">
      <c r="A752" s="2">
        <v>44543</v>
      </c>
      <c r="B752" s="2" t="str">
        <f>TEXT(Bike_Sales[[#This Row],[Date]],"mmmm")</f>
        <v>December</v>
      </c>
      <c r="C752" s="19">
        <f>MONTH(Bike_Sales[[#This Row],[Date]])</f>
        <v>12</v>
      </c>
      <c r="D752" s="2" t="str">
        <f>TEXT(Bike_Sales[[#This Row],[Date]],"dddd")</f>
        <v>Monday</v>
      </c>
      <c r="E752" s="3">
        <v>69</v>
      </c>
      <c r="F752" s="3" t="s">
        <v>126</v>
      </c>
      <c r="G752" s="3" t="s">
        <v>18</v>
      </c>
      <c r="H752" s="3" t="s">
        <v>19</v>
      </c>
      <c r="I752" s="3" t="s">
        <v>11</v>
      </c>
      <c r="J752" s="3" t="s">
        <v>102</v>
      </c>
      <c r="K752" s="3" t="s">
        <v>36</v>
      </c>
      <c r="L752" s="4">
        <v>1</v>
      </c>
      <c r="M752" s="3">
        <v>580</v>
      </c>
      <c r="N752" s="3">
        <v>920</v>
      </c>
      <c r="O752" s="15">
        <f>Bike_Sales[[#This Row],[Order_Quantity]]*Bike_Sales[[#This Row],[Unit_Price]]</f>
        <v>920</v>
      </c>
      <c r="P752" s="15">
        <f>Bike_Sales[[#This Row],[Order_Quantity]]*Bike_Sales[[#This Row],[Unit_Cost]]</f>
        <v>580</v>
      </c>
      <c r="Q752" s="15">
        <f>Bike_Sales[[#This Row],[Total Sales]]-Bike_Sales[[#This Row],[Total Cost]]</f>
        <v>340</v>
      </c>
      <c r="R752" s="17">
        <f>Bike_Sales[[#This Row],[Profit]]/Bike_Sales[[#This Row],[Total Sales]]</f>
        <v>0.36956521739130432</v>
      </c>
      <c r="S752" s="16" t="str">
        <f t="shared" si="11"/>
        <v>55+</v>
      </c>
    </row>
    <row r="753" spans="1:19" x14ac:dyDescent="0.35">
      <c r="A753" s="2">
        <v>44539</v>
      </c>
      <c r="B753" s="2" t="str">
        <f>TEXT(Bike_Sales[[#This Row],[Date]],"mmmm")</f>
        <v>December</v>
      </c>
      <c r="C753" s="19">
        <f>MONTH(Bike_Sales[[#This Row],[Date]])</f>
        <v>12</v>
      </c>
      <c r="D753" s="2" t="str">
        <f>TEXT(Bike_Sales[[#This Row],[Date]],"dddd")</f>
        <v>Thursday</v>
      </c>
      <c r="E753" s="3">
        <v>75</v>
      </c>
      <c r="F753" s="3" t="s">
        <v>126</v>
      </c>
      <c r="G753" s="3" t="s">
        <v>129</v>
      </c>
      <c r="H753" s="3" t="s">
        <v>15</v>
      </c>
      <c r="I753" s="3" t="s">
        <v>11</v>
      </c>
      <c r="J753" s="3" t="s">
        <v>101</v>
      </c>
      <c r="K753" s="3" t="s">
        <v>54</v>
      </c>
      <c r="L753" s="4">
        <v>2</v>
      </c>
      <c r="M753" s="3">
        <v>580</v>
      </c>
      <c r="N753" s="3">
        <v>920</v>
      </c>
      <c r="O753" s="15">
        <f>Bike_Sales[[#This Row],[Order_Quantity]]*Bike_Sales[[#This Row],[Unit_Price]]</f>
        <v>1840</v>
      </c>
      <c r="P753" s="15">
        <f>Bike_Sales[[#This Row],[Order_Quantity]]*Bike_Sales[[#This Row],[Unit_Cost]]</f>
        <v>1160</v>
      </c>
      <c r="Q753" s="15">
        <f>Bike_Sales[[#This Row],[Total Sales]]-Bike_Sales[[#This Row],[Total Cost]]</f>
        <v>680</v>
      </c>
      <c r="R753" s="17">
        <f>Bike_Sales[[#This Row],[Profit]]/Bike_Sales[[#This Row],[Total Sales]]</f>
        <v>0.36956521739130432</v>
      </c>
      <c r="S753" s="16" t="str">
        <f t="shared" si="11"/>
        <v>55+</v>
      </c>
    </row>
  </sheetData>
  <sortState xmlns:xlrd2="http://schemas.microsoft.com/office/spreadsheetml/2017/richdata2" ref="A2:N753">
    <sortCondition ref="E2:E753"/>
  </sortState>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E8D92-31D9-44F1-8B75-B039EDFC7F80}">
  <dimension ref="C1:S51"/>
  <sheetViews>
    <sheetView showGridLines="0" showRowColHeaders="0" tabSelected="1" zoomScale="80" zoomScaleNormal="80" workbookViewId="0">
      <selection activeCell="V27" sqref="V27"/>
    </sheetView>
  </sheetViews>
  <sheetFormatPr defaultRowHeight="14.5" x14ac:dyDescent="0.35"/>
  <cols>
    <col min="1" max="8" width="8.7265625" style="30"/>
    <col min="9" max="9" width="14" style="30" customWidth="1"/>
    <col min="10" max="10" width="11.1796875" style="30" bestFit="1" customWidth="1"/>
    <col min="11" max="11" width="9.1796875" style="30" bestFit="1" customWidth="1"/>
    <col min="12" max="16384" width="8.7265625" style="30"/>
  </cols>
  <sheetData>
    <row r="1" spans="3:19" x14ac:dyDescent="0.35">
      <c r="C1" s="29"/>
      <c r="D1" s="29"/>
      <c r="E1" s="29"/>
      <c r="F1" s="29"/>
      <c r="G1" s="29"/>
      <c r="H1" s="29"/>
      <c r="I1" s="29"/>
      <c r="J1" s="29"/>
      <c r="K1" s="29"/>
      <c r="L1" s="29"/>
      <c r="M1" s="29"/>
      <c r="N1" s="29"/>
      <c r="O1" s="29"/>
      <c r="P1" s="29"/>
      <c r="Q1" s="29"/>
      <c r="R1" s="29"/>
      <c r="S1" s="29"/>
    </row>
    <row r="2" spans="3:19" x14ac:dyDescent="0.35">
      <c r="C2" s="29"/>
      <c r="D2" s="29"/>
      <c r="E2" s="29"/>
      <c r="F2" s="29"/>
      <c r="G2" s="29"/>
      <c r="H2" s="29"/>
      <c r="I2" s="29"/>
      <c r="J2" s="29"/>
      <c r="K2" s="29"/>
      <c r="L2" s="29"/>
      <c r="M2" s="29"/>
      <c r="N2" s="29"/>
      <c r="O2" s="29"/>
      <c r="P2" s="29"/>
      <c r="Q2" s="29"/>
      <c r="R2" s="29"/>
      <c r="S2" s="29"/>
    </row>
    <row r="49" spans="9:12" x14ac:dyDescent="0.35">
      <c r="I49" s="33">
        <f>' Analysis'!B12</f>
        <v>1409500</v>
      </c>
      <c r="J49" s="33">
        <f>' Analysis'!C12</f>
        <v>513460</v>
      </c>
      <c r="K49" s="33">
        <f>' Analysis'!H8</f>
        <v>1483</v>
      </c>
      <c r="L49" s="30">
        <f>' Analysis'!I8</f>
        <v>752</v>
      </c>
    </row>
    <row r="51" spans="9:12" x14ac:dyDescent="0.35">
      <c r="I51" s="31">
        <v>1085290</v>
      </c>
      <c r="J51" s="31">
        <v>395390</v>
      </c>
      <c r="K51" s="32">
        <v>1483</v>
      </c>
      <c r="L51" s="32">
        <v>752</v>
      </c>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CAD85-4C98-4677-92BA-8A9C225E6CC7}">
  <dimension ref="A1:LU38"/>
  <sheetViews>
    <sheetView topLeftCell="BO1" zoomScale="90" zoomScaleNormal="90" workbookViewId="0">
      <selection activeCell="B19" sqref="B19"/>
    </sheetView>
  </sheetViews>
  <sheetFormatPr defaultRowHeight="14.5" x14ac:dyDescent="0.35"/>
  <cols>
    <col min="1" max="1" width="16.1796875" bestFit="1" customWidth="1"/>
    <col min="2" max="2" width="16.26953125" bestFit="1" customWidth="1"/>
    <col min="3" max="3" width="11.7265625" bestFit="1" customWidth="1"/>
    <col min="5" max="5" width="11.36328125" customWidth="1"/>
    <col min="6" max="6" width="4" style="25" customWidth="1"/>
    <col min="7" max="7" width="13.1796875" bestFit="1" customWidth="1"/>
    <col min="8" max="8" width="20.1796875" bestFit="1" customWidth="1"/>
    <col min="9" max="9" width="12.453125" bestFit="1" customWidth="1"/>
    <col min="12" max="12" width="10.7265625" customWidth="1"/>
    <col min="13" max="13" width="4.54296875" style="25" customWidth="1"/>
    <col min="14" max="14" width="12.81640625" bestFit="1" customWidth="1"/>
    <col min="15" max="15" width="12.453125" bestFit="1" customWidth="1"/>
    <col min="19" max="19" width="10.7265625" customWidth="1"/>
    <col min="20" max="20" width="4.36328125" style="25" customWidth="1"/>
    <col min="21" max="21" width="12.81640625" bestFit="1" customWidth="1"/>
    <col min="22" max="22" width="12.453125" bestFit="1" customWidth="1"/>
    <col min="23" max="23" width="20.1796875" bestFit="1" customWidth="1"/>
    <col min="24" max="24" width="24.08984375" bestFit="1" customWidth="1"/>
    <col min="28" max="28" width="11.26953125" customWidth="1"/>
    <col min="29" max="29" width="4.6328125" style="25" customWidth="1"/>
    <col min="30" max="30" width="16.1796875" bestFit="1" customWidth="1"/>
    <col min="31" max="31" width="23.08984375" bestFit="1" customWidth="1"/>
    <col min="33" max="33" width="15.08984375" customWidth="1"/>
    <col min="34" max="34" width="3.81640625" style="25" customWidth="1"/>
    <col min="35" max="35" width="12.81640625" bestFit="1" customWidth="1"/>
    <col min="36" max="36" width="20.1796875" bestFit="1" customWidth="1"/>
    <col min="39" max="39" width="10.81640625" customWidth="1"/>
    <col min="40" max="40" width="3.90625" style="25" customWidth="1"/>
    <col min="41" max="41" width="12.81640625" bestFit="1" customWidth="1"/>
    <col min="42" max="42" width="20.1796875" bestFit="1" customWidth="1"/>
    <col min="48" max="48" width="14.08984375" customWidth="1"/>
    <col min="49" max="49" width="3.6328125" style="25" customWidth="1"/>
    <col min="50" max="50" width="12.81640625" bestFit="1" customWidth="1"/>
    <col min="51" max="51" width="12.453125" bestFit="1" customWidth="1"/>
    <col min="55" max="55" width="13.90625" customWidth="1"/>
    <col min="56" max="56" width="3.81640625" style="25" customWidth="1"/>
    <col min="57" max="57" width="12.81640625" bestFit="1" customWidth="1"/>
    <col min="58" max="58" width="20.1796875" bestFit="1" customWidth="1"/>
    <col min="59" max="59" width="12.453125" bestFit="1" customWidth="1"/>
    <col min="65" max="65" width="8.7265625" customWidth="1"/>
    <col min="66" max="66" width="3.1796875" style="25" customWidth="1"/>
    <col min="67" max="67" width="26.90625" bestFit="1" customWidth="1"/>
    <col min="68" max="68" width="12.453125" bestFit="1" customWidth="1"/>
  </cols>
  <sheetData>
    <row r="1" spans="1:333" x14ac:dyDescent="0.35">
      <c r="A1" s="27" t="s">
        <v>162</v>
      </c>
      <c r="B1" s="27"/>
      <c r="C1" s="27"/>
      <c r="D1" s="27"/>
      <c r="E1" s="27"/>
      <c r="G1" s="27" t="s">
        <v>164</v>
      </c>
      <c r="H1" s="27"/>
      <c r="I1" s="27"/>
      <c r="J1" s="27"/>
      <c r="K1" s="27"/>
      <c r="L1" s="27"/>
      <c r="N1" s="27" t="s">
        <v>167</v>
      </c>
      <c r="O1" s="27"/>
      <c r="P1" s="27"/>
      <c r="Q1" s="27"/>
      <c r="R1" s="27"/>
      <c r="S1" s="27"/>
      <c r="U1" s="27" t="s">
        <v>169</v>
      </c>
      <c r="V1" s="27"/>
      <c r="W1" s="27"/>
      <c r="X1" s="27"/>
      <c r="Y1" s="27"/>
      <c r="Z1" s="27"/>
      <c r="AA1" s="27"/>
      <c r="AB1" s="27"/>
      <c r="AD1" s="27" t="s">
        <v>172</v>
      </c>
      <c r="AE1" s="27"/>
      <c r="AF1" s="27"/>
      <c r="AG1" s="27"/>
      <c r="AI1" s="27" t="s">
        <v>175</v>
      </c>
      <c r="AJ1" s="27"/>
      <c r="AK1" s="27"/>
      <c r="AL1" s="27"/>
      <c r="AM1" s="27"/>
      <c r="AO1" s="27" t="s">
        <v>177</v>
      </c>
      <c r="AP1" s="27"/>
      <c r="AQ1" s="27"/>
      <c r="AR1" s="27"/>
      <c r="AS1" s="27"/>
      <c r="AT1" s="27"/>
      <c r="AU1" s="27"/>
      <c r="AV1" s="27"/>
      <c r="AX1" s="27" t="s">
        <v>182</v>
      </c>
      <c r="AY1" s="27"/>
      <c r="AZ1" s="27"/>
      <c r="BA1" s="27"/>
      <c r="BB1" s="27"/>
      <c r="BC1" s="27"/>
      <c r="BE1" s="27" t="s">
        <v>184</v>
      </c>
      <c r="BF1" s="27"/>
      <c r="BG1" s="27"/>
      <c r="BH1" s="27"/>
      <c r="BI1" s="27"/>
      <c r="BJ1" s="27"/>
      <c r="BK1" s="27"/>
      <c r="BL1" s="27"/>
      <c r="BM1" s="27"/>
      <c r="BO1" s="27" t="s">
        <v>185</v>
      </c>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c r="GL1" s="27"/>
      <c r="GM1" s="27"/>
      <c r="GN1" s="27"/>
      <c r="GO1" s="27"/>
      <c r="GP1" s="27"/>
      <c r="GQ1" s="27"/>
      <c r="GR1" s="27"/>
      <c r="GS1" s="27"/>
      <c r="GT1" s="27"/>
      <c r="GU1" s="27"/>
      <c r="GV1" s="27"/>
      <c r="GW1" s="27"/>
      <c r="GX1" s="27"/>
      <c r="GY1" s="27"/>
      <c r="GZ1" s="27"/>
      <c r="HA1" s="27"/>
      <c r="HB1" s="27"/>
      <c r="HC1" s="27"/>
      <c r="HD1" s="27"/>
      <c r="HE1" s="27"/>
      <c r="HF1" s="27"/>
      <c r="HG1" s="27"/>
      <c r="HH1" s="27"/>
      <c r="HI1" s="27"/>
      <c r="HJ1" s="27"/>
      <c r="HK1" s="27"/>
      <c r="HL1" s="27"/>
      <c r="HM1" s="27"/>
      <c r="HN1" s="27"/>
      <c r="HO1" s="27"/>
      <c r="HP1" s="27"/>
      <c r="HQ1" s="27"/>
      <c r="HR1" s="27"/>
      <c r="HS1" s="27"/>
      <c r="HT1" s="27"/>
      <c r="HU1" s="27"/>
      <c r="HV1" s="27"/>
      <c r="HW1" s="27"/>
      <c r="HX1" s="27"/>
      <c r="HY1" s="27"/>
      <c r="HZ1" s="27"/>
      <c r="IA1" s="27"/>
      <c r="IB1" s="27"/>
      <c r="IC1" s="27"/>
      <c r="ID1" s="27"/>
      <c r="IE1" s="27"/>
      <c r="IF1" s="27"/>
      <c r="IG1" s="27"/>
      <c r="IH1" s="27"/>
      <c r="II1" s="27"/>
      <c r="IJ1" s="27"/>
      <c r="IK1" s="27"/>
      <c r="IL1" s="27"/>
      <c r="IM1" s="27"/>
      <c r="IN1" s="27"/>
      <c r="IO1" s="27"/>
      <c r="IP1" s="27"/>
      <c r="IQ1" s="27"/>
      <c r="IR1" s="27"/>
      <c r="IS1" s="27"/>
      <c r="IT1" s="27"/>
      <c r="IU1" s="27"/>
      <c r="IV1" s="27"/>
      <c r="IW1" s="27"/>
      <c r="IX1" s="27"/>
      <c r="IY1" s="27"/>
      <c r="IZ1" s="27"/>
      <c r="JA1" s="27"/>
      <c r="JB1" s="27"/>
      <c r="JC1" s="27"/>
      <c r="JD1" s="27"/>
      <c r="JE1" s="27"/>
      <c r="JF1" s="27"/>
      <c r="JG1" s="27"/>
      <c r="JH1" s="27"/>
      <c r="JI1" s="27"/>
      <c r="JJ1" s="27"/>
      <c r="JK1" s="27"/>
      <c r="JL1" s="27"/>
      <c r="JM1" s="27"/>
      <c r="JN1" s="27"/>
      <c r="JO1" s="27"/>
      <c r="JP1" s="27"/>
      <c r="JQ1" s="27"/>
      <c r="JR1" s="27"/>
      <c r="JS1" s="27"/>
      <c r="JT1" s="27"/>
      <c r="JU1" s="27"/>
      <c r="JV1" s="27"/>
      <c r="JW1" s="27"/>
      <c r="JX1" s="27"/>
      <c r="JY1" s="27"/>
      <c r="JZ1" s="27"/>
      <c r="KA1" s="27"/>
      <c r="KB1" s="27"/>
      <c r="KC1" s="27"/>
      <c r="KD1" s="27"/>
      <c r="KE1" s="27"/>
      <c r="KF1" s="27"/>
      <c r="KG1" s="27"/>
      <c r="KH1" s="27"/>
      <c r="KI1" s="27"/>
      <c r="KJ1" s="27"/>
      <c r="KK1" s="27"/>
      <c r="KL1" s="27"/>
      <c r="KM1" s="27"/>
      <c r="KN1" s="27"/>
      <c r="KO1" s="27"/>
      <c r="KP1" s="27"/>
      <c r="KQ1" s="27"/>
      <c r="KR1" s="27"/>
      <c r="KS1" s="27"/>
      <c r="KT1" s="27"/>
      <c r="KU1" s="27"/>
      <c r="KV1" s="27"/>
      <c r="KW1" s="27"/>
      <c r="KX1" s="27"/>
      <c r="KY1" s="27"/>
      <c r="KZ1" s="27"/>
      <c r="LA1" s="27"/>
      <c r="LB1" s="27"/>
      <c r="LC1" s="27"/>
      <c r="LD1" s="27"/>
      <c r="LE1" s="27"/>
      <c r="LF1" s="27"/>
      <c r="LG1" s="27"/>
      <c r="LH1" s="27"/>
      <c r="LI1" s="27"/>
      <c r="LJ1" s="27"/>
      <c r="LK1" s="27"/>
      <c r="LL1" s="27"/>
      <c r="LM1" s="27"/>
      <c r="LN1" s="27"/>
      <c r="LO1" s="27"/>
      <c r="LP1" s="27"/>
      <c r="LQ1" s="27"/>
      <c r="LR1" s="27"/>
      <c r="LS1" s="27"/>
      <c r="LT1" s="27"/>
      <c r="LU1" s="27"/>
    </row>
    <row r="2" spans="1:333" x14ac:dyDescent="0.35">
      <c r="A2" s="27" t="s">
        <v>163</v>
      </c>
      <c r="B2" s="27"/>
      <c r="C2" s="27"/>
      <c r="D2" s="27"/>
      <c r="E2" s="27"/>
      <c r="G2" s="27" t="s">
        <v>163</v>
      </c>
      <c r="H2" s="27"/>
      <c r="I2" s="27"/>
      <c r="J2" s="27"/>
      <c r="K2" s="27"/>
      <c r="L2" s="27"/>
      <c r="N2" s="27" t="s">
        <v>163</v>
      </c>
      <c r="O2" s="27"/>
      <c r="P2" s="27"/>
      <c r="Q2" s="27"/>
      <c r="R2" s="27"/>
      <c r="S2" s="27"/>
      <c r="U2" s="27" t="s">
        <v>163</v>
      </c>
      <c r="V2" s="27"/>
      <c r="W2" s="27"/>
      <c r="X2" s="27"/>
      <c r="Y2" s="27"/>
      <c r="Z2" s="27"/>
      <c r="AA2" s="27"/>
      <c r="AB2" s="27"/>
      <c r="AD2" s="27" t="s">
        <v>163</v>
      </c>
      <c r="AE2" s="27"/>
      <c r="AF2" s="27"/>
      <c r="AG2" s="27"/>
      <c r="AI2" s="27" t="s">
        <v>163</v>
      </c>
      <c r="AJ2" s="27"/>
      <c r="AK2" s="27"/>
      <c r="AL2" s="27"/>
      <c r="AM2" s="27"/>
      <c r="AO2" s="27" t="s">
        <v>163</v>
      </c>
      <c r="AP2" s="27"/>
      <c r="AQ2" s="27"/>
      <c r="AR2" s="27"/>
      <c r="AS2" s="27"/>
      <c r="AT2" s="27"/>
      <c r="AU2" s="27"/>
      <c r="AV2" s="27"/>
      <c r="AX2" s="27" t="s">
        <v>163</v>
      </c>
      <c r="AY2" s="27"/>
      <c r="AZ2" s="27"/>
      <c r="BA2" s="27"/>
      <c r="BB2" s="27"/>
      <c r="BC2" s="27"/>
      <c r="BE2" s="27" t="s">
        <v>163</v>
      </c>
      <c r="BF2" s="27"/>
      <c r="BG2" s="27"/>
      <c r="BH2" s="27"/>
      <c r="BI2" s="27"/>
      <c r="BJ2" s="27"/>
      <c r="BK2" s="27"/>
      <c r="BL2" s="27"/>
      <c r="BM2" s="27"/>
      <c r="BO2" s="27" t="s">
        <v>163</v>
      </c>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c r="CU2" s="27"/>
      <c r="CV2" s="27"/>
      <c r="CW2" s="27"/>
      <c r="CX2" s="27"/>
      <c r="CY2" s="27"/>
      <c r="CZ2" s="27"/>
      <c r="DA2" s="27"/>
      <c r="DB2" s="27"/>
      <c r="DC2" s="27"/>
      <c r="DD2" s="27"/>
      <c r="DE2" s="27"/>
      <c r="DF2" s="27"/>
      <c r="DG2" s="27"/>
      <c r="DH2" s="27"/>
      <c r="DI2" s="27"/>
      <c r="DJ2" s="27"/>
      <c r="DK2" s="27"/>
      <c r="DL2" s="27"/>
      <c r="DM2" s="27"/>
      <c r="DN2" s="27"/>
      <c r="DO2" s="27"/>
      <c r="DP2" s="27"/>
      <c r="DQ2" s="27"/>
      <c r="DR2" s="27"/>
      <c r="DS2" s="27"/>
      <c r="DT2" s="27"/>
      <c r="DU2" s="27"/>
      <c r="DV2" s="27"/>
      <c r="DW2" s="27"/>
      <c r="DX2" s="27"/>
      <c r="DY2" s="27"/>
      <c r="DZ2" s="27"/>
      <c r="EA2" s="27"/>
      <c r="EB2" s="27"/>
      <c r="EC2" s="27"/>
      <c r="ED2" s="27"/>
      <c r="EE2" s="27"/>
      <c r="EF2" s="27"/>
      <c r="EG2" s="27"/>
      <c r="EH2" s="27"/>
      <c r="EI2" s="27"/>
      <c r="EJ2" s="27"/>
      <c r="EK2" s="27"/>
      <c r="EL2" s="27"/>
      <c r="EM2" s="27"/>
      <c r="EN2" s="27"/>
      <c r="EO2" s="27"/>
      <c r="EP2" s="27"/>
      <c r="EQ2" s="27"/>
      <c r="ER2" s="27"/>
      <c r="ES2" s="27"/>
      <c r="ET2" s="27"/>
      <c r="EU2" s="27"/>
      <c r="EV2" s="27"/>
      <c r="EW2" s="27"/>
      <c r="EX2" s="27"/>
      <c r="EY2" s="27"/>
      <c r="EZ2" s="27"/>
      <c r="FA2" s="27"/>
      <c r="FB2" s="27"/>
      <c r="FC2" s="27"/>
      <c r="FD2" s="27"/>
      <c r="FE2" s="27"/>
      <c r="FF2" s="27"/>
      <c r="FG2" s="27"/>
      <c r="FH2" s="27"/>
      <c r="FI2" s="27"/>
      <c r="FJ2" s="27"/>
      <c r="FK2" s="27"/>
      <c r="FL2" s="27"/>
      <c r="FM2" s="27"/>
      <c r="FN2" s="27"/>
      <c r="FO2" s="27"/>
      <c r="FP2" s="27"/>
      <c r="FQ2" s="27"/>
      <c r="FR2" s="27"/>
      <c r="FS2" s="27"/>
      <c r="FT2" s="27"/>
      <c r="FU2" s="27"/>
      <c r="FV2" s="27"/>
      <c r="FW2" s="27"/>
      <c r="FX2" s="27"/>
      <c r="FY2" s="27"/>
      <c r="FZ2" s="27"/>
      <c r="GA2" s="27"/>
      <c r="GB2" s="27"/>
      <c r="GC2" s="27"/>
      <c r="GD2" s="27"/>
      <c r="GE2" s="27"/>
      <c r="GF2" s="27"/>
      <c r="GG2" s="27"/>
      <c r="GH2" s="27"/>
      <c r="GI2" s="27"/>
      <c r="GJ2" s="27"/>
      <c r="GK2" s="27"/>
      <c r="GL2" s="27"/>
      <c r="GM2" s="27"/>
      <c r="GN2" s="27"/>
      <c r="GO2" s="27"/>
      <c r="GP2" s="27"/>
      <c r="GQ2" s="27"/>
      <c r="GR2" s="27"/>
      <c r="GS2" s="27"/>
      <c r="GT2" s="27"/>
      <c r="GU2" s="27"/>
      <c r="GV2" s="27"/>
      <c r="GW2" s="27"/>
      <c r="GX2" s="27"/>
      <c r="GY2" s="27"/>
      <c r="GZ2" s="27"/>
      <c r="HA2" s="27"/>
      <c r="HB2" s="27"/>
      <c r="HC2" s="27"/>
      <c r="HD2" s="27"/>
      <c r="HE2" s="27"/>
      <c r="HF2" s="27"/>
      <c r="HG2" s="27"/>
      <c r="HH2" s="27"/>
      <c r="HI2" s="27"/>
      <c r="HJ2" s="27"/>
      <c r="HK2" s="27"/>
      <c r="HL2" s="27"/>
      <c r="HM2" s="27"/>
      <c r="HN2" s="27"/>
      <c r="HO2" s="27"/>
      <c r="HP2" s="27"/>
      <c r="HQ2" s="27"/>
      <c r="HR2" s="27"/>
      <c r="HS2" s="27"/>
      <c r="HT2" s="27"/>
      <c r="HU2" s="27"/>
      <c r="HV2" s="27"/>
      <c r="HW2" s="27"/>
      <c r="HX2" s="27"/>
      <c r="HY2" s="27"/>
      <c r="HZ2" s="27"/>
      <c r="IA2" s="27"/>
      <c r="IB2" s="27"/>
      <c r="IC2" s="27"/>
      <c r="ID2" s="27"/>
      <c r="IE2" s="27"/>
      <c r="IF2" s="27"/>
      <c r="IG2" s="27"/>
      <c r="IH2" s="27"/>
      <c r="II2" s="27"/>
      <c r="IJ2" s="27"/>
      <c r="IK2" s="27"/>
      <c r="IL2" s="27"/>
      <c r="IM2" s="27"/>
      <c r="IN2" s="27"/>
      <c r="IO2" s="27"/>
      <c r="IP2" s="27"/>
      <c r="IQ2" s="27"/>
      <c r="IR2" s="27"/>
      <c r="IS2" s="27"/>
      <c r="IT2" s="27"/>
      <c r="IU2" s="27"/>
      <c r="IV2" s="27"/>
      <c r="IW2" s="27"/>
      <c r="IX2" s="27"/>
      <c r="IY2" s="27"/>
      <c r="IZ2" s="27"/>
      <c r="JA2" s="27"/>
      <c r="JB2" s="27"/>
      <c r="JC2" s="27"/>
      <c r="JD2" s="27"/>
      <c r="JE2" s="27"/>
      <c r="JF2" s="27"/>
      <c r="JG2" s="27"/>
      <c r="JH2" s="27"/>
      <c r="JI2" s="27"/>
      <c r="JJ2" s="27"/>
      <c r="JK2" s="27"/>
      <c r="JL2" s="27"/>
      <c r="JM2" s="27"/>
      <c r="JN2" s="27"/>
      <c r="JO2" s="27"/>
      <c r="JP2" s="27"/>
      <c r="JQ2" s="27"/>
      <c r="JR2" s="27"/>
      <c r="JS2" s="27"/>
      <c r="JT2" s="27"/>
      <c r="JU2" s="27"/>
      <c r="JV2" s="27"/>
      <c r="JW2" s="27"/>
      <c r="JX2" s="27"/>
      <c r="JY2" s="27"/>
      <c r="JZ2" s="27"/>
      <c r="KA2" s="27"/>
      <c r="KB2" s="27"/>
      <c r="KC2" s="27"/>
      <c r="KD2" s="27"/>
      <c r="KE2" s="27"/>
      <c r="KF2" s="27"/>
      <c r="KG2" s="27"/>
      <c r="KH2" s="27"/>
      <c r="KI2" s="27"/>
      <c r="KJ2" s="27"/>
      <c r="KK2" s="27"/>
      <c r="KL2" s="27"/>
      <c r="KM2" s="27"/>
      <c r="KN2" s="27"/>
      <c r="KO2" s="27"/>
      <c r="KP2" s="27"/>
      <c r="KQ2" s="27"/>
      <c r="KR2" s="27"/>
      <c r="KS2" s="27"/>
      <c r="KT2" s="27"/>
      <c r="KU2" s="27"/>
      <c r="KV2" s="27"/>
      <c r="KW2" s="27"/>
      <c r="KX2" s="27"/>
      <c r="KY2" s="27"/>
      <c r="KZ2" s="27"/>
      <c r="LA2" s="27"/>
      <c r="LB2" s="27"/>
      <c r="LC2" s="27"/>
      <c r="LD2" s="27"/>
      <c r="LE2" s="27"/>
      <c r="LF2" s="27"/>
      <c r="LG2" s="27"/>
      <c r="LH2" s="27"/>
      <c r="LI2" s="27"/>
      <c r="LJ2" s="27"/>
      <c r="LK2" s="27"/>
      <c r="LL2" s="27"/>
      <c r="LM2" s="27"/>
      <c r="LN2" s="27"/>
      <c r="LO2" s="27"/>
      <c r="LP2" s="27"/>
      <c r="LQ2" s="27"/>
      <c r="LR2" s="27"/>
      <c r="LS2" s="27"/>
      <c r="LT2" s="27"/>
      <c r="LU2" s="27"/>
    </row>
    <row r="3" spans="1:333" x14ac:dyDescent="0.35">
      <c r="A3" s="27" t="s">
        <v>187</v>
      </c>
      <c r="B3" s="27"/>
      <c r="C3" s="27"/>
      <c r="D3" s="27"/>
      <c r="E3" s="27"/>
      <c r="G3" s="27" t="s">
        <v>166</v>
      </c>
      <c r="H3" s="27"/>
      <c r="I3" s="27"/>
      <c r="J3" s="27"/>
      <c r="K3" s="27"/>
      <c r="L3" s="27"/>
      <c r="N3" s="27" t="s">
        <v>168</v>
      </c>
      <c r="O3" s="27"/>
      <c r="P3" s="27"/>
      <c r="Q3" s="27"/>
      <c r="R3" s="27"/>
      <c r="S3" s="27"/>
      <c r="U3" s="28" t="s">
        <v>170</v>
      </c>
      <c r="V3" s="27"/>
      <c r="W3" s="27"/>
      <c r="X3" s="27"/>
      <c r="Y3" s="27"/>
      <c r="Z3" s="27"/>
      <c r="AA3" s="27"/>
      <c r="AB3" s="27"/>
      <c r="AD3" s="27" t="s">
        <v>174</v>
      </c>
      <c r="AE3" s="27"/>
      <c r="AF3" s="27"/>
      <c r="AG3" s="27"/>
      <c r="AI3" s="27" t="s">
        <v>176</v>
      </c>
      <c r="AJ3" s="27"/>
      <c r="AK3" s="27"/>
      <c r="AL3" s="27"/>
      <c r="AM3" s="27"/>
      <c r="AO3" s="28" t="s">
        <v>181</v>
      </c>
      <c r="AP3" s="27"/>
      <c r="AQ3" s="27"/>
      <c r="AR3" s="27"/>
      <c r="AS3" s="27"/>
      <c r="AT3" s="27"/>
      <c r="AU3" s="27"/>
      <c r="AV3" s="27"/>
      <c r="AX3" s="27" t="s">
        <v>183</v>
      </c>
      <c r="AY3" s="27"/>
      <c r="AZ3" s="27"/>
      <c r="BA3" s="27"/>
      <c r="BB3" s="27"/>
      <c r="BC3" s="27"/>
      <c r="BE3" s="28" t="s">
        <v>188</v>
      </c>
      <c r="BF3" s="27"/>
      <c r="BG3" s="27"/>
      <c r="BH3" s="27"/>
      <c r="BI3" s="27"/>
      <c r="BJ3" s="27"/>
      <c r="BK3" s="27"/>
      <c r="BL3" s="27"/>
      <c r="BM3" s="27"/>
      <c r="BO3" s="28" t="s">
        <v>186</v>
      </c>
      <c r="BP3" s="27"/>
      <c r="BQ3" s="27"/>
      <c r="BR3" s="27"/>
      <c r="BS3" s="27"/>
      <c r="BT3" s="27"/>
      <c r="BU3" s="27"/>
      <c r="BV3" s="27"/>
      <c r="BW3" s="27"/>
      <c r="BX3" s="27"/>
      <c r="BY3" s="27"/>
      <c r="BZ3" s="27"/>
      <c r="CA3" s="27"/>
      <c r="CB3" s="27"/>
      <c r="CC3" s="27"/>
      <c r="CD3" s="27"/>
      <c r="CE3" s="27"/>
      <c r="CF3" s="27"/>
      <c r="CG3" s="27"/>
      <c r="CH3" s="27"/>
      <c r="CI3" s="27"/>
      <c r="CJ3" s="27"/>
      <c r="CK3" s="27"/>
      <c r="CL3" s="27"/>
      <c r="CM3" s="27"/>
      <c r="CN3" s="27"/>
      <c r="CO3" s="27"/>
      <c r="CP3" s="27"/>
      <c r="CQ3" s="27"/>
      <c r="CR3" s="27"/>
      <c r="CS3" s="27"/>
      <c r="CT3" s="27"/>
      <c r="CU3" s="27"/>
      <c r="CV3" s="27"/>
      <c r="CW3" s="27"/>
      <c r="CX3" s="27"/>
      <c r="CY3" s="27"/>
      <c r="CZ3" s="27"/>
      <c r="DA3" s="27"/>
      <c r="DB3" s="27"/>
      <c r="DC3" s="27"/>
      <c r="DD3" s="27"/>
      <c r="DE3" s="27"/>
      <c r="DF3" s="27"/>
      <c r="DG3" s="27"/>
      <c r="DH3" s="27"/>
      <c r="DI3" s="27"/>
      <c r="DJ3" s="27"/>
      <c r="DK3" s="27"/>
      <c r="DL3" s="27"/>
      <c r="DM3" s="27"/>
      <c r="DN3" s="27"/>
      <c r="DO3" s="27"/>
      <c r="DP3" s="27"/>
      <c r="DQ3" s="27"/>
      <c r="DR3" s="27"/>
      <c r="DS3" s="27"/>
      <c r="DT3" s="27"/>
      <c r="DU3" s="27"/>
      <c r="DV3" s="27"/>
      <c r="DW3" s="27"/>
      <c r="DX3" s="27"/>
      <c r="DY3" s="27"/>
      <c r="DZ3" s="27"/>
      <c r="EA3" s="27"/>
      <c r="EB3" s="27"/>
      <c r="EC3" s="27"/>
      <c r="ED3" s="27"/>
      <c r="EE3" s="27"/>
      <c r="EF3" s="27"/>
      <c r="EG3" s="27"/>
      <c r="EH3" s="27"/>
      <c r="EI3" s="27"/>
      <c r="EJ3" s="27"/>
      <c r="EK3" s="27"/>
      <c r="EL3" s="27"/>
      <c r="EM3" s="27"/>
      <c r="EN3" s="27"/>
      <c r="EO3" s="27"/>
      <c r="EP3" s="27"/>
      <c r="EQ3" s="27"/>
      <c r="ER3" s="27"/>
      <c r="ES3" s="27"/>
      <c r="ET3" s="27"/>
      <c r="EU3" s="27"/>
      <c r="EV3" s="27"/>
      <c r="EW3" s="27"/>
      <c r="EX3" s="27"/>
      <c r="EY3" s="27"/>
      <c r="EZ3" s="27"/>
      <c r="FA3" s="27"/>
      <c r="FB3" s="27"/>
      <c r="FC3" s="27"/>
      <c r="FD3" s="27"/>
      <c r="FE3" s="27"/>
      <c r="FF3" s="27"/>
      <c r="FG3" s="27"/>
      <c r="FH3" s="27"/>
      <c r="FI3" s="27"/>
      <c r="FJ3" s="27"/>
      <c r="FK3" s="27"/>
      <c r="FL3" s="27"/>
      <c r="FM3" s="27"/>
      <c r="FN3" s="27"/>
      <c r="FO3" s="27"/>
      <c r="FP3" s="27"/>
      <c r="FQ3" s="27"/>
      <c r="FR3" s="27"/>
      <c r="FS3" s="27"/>
      <c r="FT3" s="27"/>
      <c r="FU3" s="27"/>
      <c r="FV3" s="27"/>
      <c r="FW3" s="27"/>
      <c r="FX3" s="27"/>
      <c r="FY3" s="27"/>
      <c r="FZ3" s="27"/>
      <c r="GA3" s="27"/>
      <c r="GB3" s="27"/>
      <c r="GC3" s="27"/>
      <c r="GD3" s="27"/>
      <c r="GE3" s="27"/>
      <c r="GF3" s="27"/>
      <c r="GG3" s="27"/>
      <c r="GH3" s="27"/>
      <c r="GI3" s="27"/>
      <c r="GJ3" s="27"/>
      <c r="GK3" s="27"/>
      <c r="GL3" s="27"/>
      <c r="GM3" s="27"/>
      <c r="GN3" s="27"/>
      <c r="GO3" s="27"/>
      <c r="GP3" s="27"/>
      <c r="GQ3" s="27"/>
      <c r="GR3" s="27"/>
      <c r="GS3" s="27"/>
      <c r="GT3" s="27"/>
      <c r="GU3" s="27"/>
      <c r="GV3" s="27"/>
      <c r="GW3" s="27"/>
      <c r="GX3" s="27"/>
      <c r="GY3" s="27"/>
      <c r="GZ3" s="27"/>
      <c r="HA3" s="27"/>
      <c r="HB3" s="27"/>
      <c r="HC3" s="27"/>
      <c r="HD3" s="27"/>
      <c r="HE3" s="27"/>
      <c r="HF3" s="27"/>
      <c r="HG3" s="27"/>
      <c r="HH3" s="27"/>
      <c r="HI3" s="27"/>
      <c r="HJ3" s="27"/>
      <c r="HK3" s="27"/>
      <c r="HL3" s="27"/>
      <c r="HM3" s="27"/>
      <c r="HN3" s="27"/>
      <c r="HO3" s="27"/>
      <c r="HP3" s="27"/>
      <c r="HQ3" s="27"/>
      <c r="HR3" s="27"/>
      <c r="HS3" s="27"/>
      <c r="HT3" s="27"/>
      <c r="HU3" s="27"/>
      <c r="HV3" s="27"/>
      <c r="HW3" s="27"/>
      <c r="HX3" s="27"/>
      <c r="HY3" s="27"/>
      <c r="HZ3" s="27"/>
      <c r="IA3" s="27"/>
      <c r="IB3" s="27"/>
      <c r="IC3" s="27"/>
      <c r="ID3" s="27"/>
      <c r="IE3" s="27"/>
      <c r="IF3" s="27"/>
      <c r="IG3" s="27"/>
      <c r="IH3" s="27"/>
      <c r="II3" s="27"/>
      <c r="IJ3" s="27"/>
      <c r="IK3" s="27"/>
      <c r="IL3" s="27"/>
      <c r="IM3" s="27"/>
      <c r="IN3" s="27"/>
      <c r="IO3" s="27"/>
      <c r="IP3" s="27"/>
      <c r="IQ3" s="27"/>
      <c r="IR3" s="27"/>
      <c r="IS3" s="27"/>
      <c r="IT3" s="27"/>
      <c r="IU3" s="27"/>
      <c r="IV3" s="27"/>
      <c r="IW3" s="27"/>
      <c r="IX3" s="27"/>
      <c r="IY3" s="27"/>
      <c r="IZ3" s="27"/>
      <c r="JA3" s="27"/>
      <c r="JB3" s="27"/>
      <c r="JC3" s="27"/>
      <c r="JD3" s="27"/>
      <c r="JE3" s="27"/>
      <c r="JF3" s="27"/>
      <c r="JG3" s="27"/>
      <c r="JH3" s="27"/>
      <c r="JI3" s="27"/>
      <c r="JJ3" s="27"/>
      <c r="JK3" s="27"/>
      <c r="JL3" s="27"/>
      <c r="JM3" s="27"/>
      <c r="JN3" s="27"/>
      <c r="JO3" s="27"/>
      <c r="JP3" s="27"/>
      <c r="JQ3" s="27"/>
      <c r="JR3" s="27"/>
      <c r="JS3" s="27"/>
      <c r="JT3" s="27"/>
      <c r="JU3" s="27"/>
      <c r="JV3" s="27"/>
      <c r="JW3" s="27"/>
      <c r="JX3" s="27"/>
      <c r="JY3" s="27"/>
      <c r="JZ3" s="27"/>
      <c r="KA3" s="27"/>
      <c r="KB3" s="27"/>
      <c r="KC3" s="27"/>
      <c r="KD3" s="27"/>
      <c r="KE3" s="27"/>
      <c r="KF3" s="27"/>
      <c r="KG3" s="27"/>
      <c r="KH3" s="27"/>
      <c r="KI3" s="27"/>
      <c r="KJ3" s="27"/>
      <c r="KK3" s="27"/>
      <c r="KL3" s="27"/>
      <c r="KM3" s="27"/>
      <c r="KN3" s="27"/>
      <c r="KO3" s="27"/>
      <c r="KP3" s="27"/>
      <c r="KQ3" s="27"/>
      <c r="KR3" s="27"/>
      <c r="KS3" s="27"/>
      <c r="KT3" s="27"/>
      <c r="KU3" s="27"/>
      <c r="KV3" s="27"/>
      <c r="KW3" s="27"/>
      <c r="KX3" s="27"/>
      <c r="KY3" s="27"/>
      <c r="KZ3" s="27"/>
      <c r="LA3" s="27"/>
      <c r="LB3" s="27"/>
      <c r="LC3" s="27"/>
      <c r="LD3" s="27"/>
      <c r="LE3" s="27"/>
      <c r="LF3" s="27"/>
      <c r="LG3" s="27"/>
      <c r="LH3" s="27"/>
      <c r="LI3" s="27"/>
      <c r="LJ3" s="27"/>
      <c r="LK3" s="27"/>
      <c r="LL3" s="27"/>
      <c r="LM3" s="27"/>
      <c r="LN3" s="27"/>
      <c r="LO3" s="27"/>
      <c r="LP3" s="27"/>
      <c r="LQ3" s="27"/>
      <c r="LR3" s="27"/>
      <c r="LS3" s="27"/>
      <c r="LT3" s="27"/>
      <c r="LU3" s="27"/>
    </row>
    <row r="4" spans="1:333" x14ac:dyDescent="0.35">
      <c r="A4" s="21" t="s">
        <v>145</v>
      </c>
      <c r="B4" t="s">
        <v>147</v>
      </c>
      <c r="C4" t="s">
        <v>148</v>
      </c>
      <c r="G4" s="21" t="s">
        <v>145</v>
      </c>
      <c r="H4" t="s">
        <v>154</v>
      </c>
      <c r="I4" t="s">
        <v>165</v>
      </c>
      <c r="N4" s="21" t="s">
        <v>145</v>
      </c>
      <c r="O4" t="s">
        <v>165</v>
      </c>
      <c r="U4" s="21" t="s">
        <v>145</v>
      </c>
      <c r="V4" t="s">
        <v>165</v>
      </c>
      <c r="W4" t="s">
        <v>154</v>
      </c>
      <c r="X4" t="s">
        <v>171</v>
      </c>
      <c r="AD4" s="21" t="s">
        <v>145</v>
      </c>
      <c r="AE4" t="s">
        <v>173</v>
      </c>
      <c r="AI4" s="21" t="s">
        <v>145</v>
      </c>
      <c r="AJ4" t="s">
        <v>154</v>
      </c>
      <c r="AO4" s="21" t="s">
        <v>145</v>
      </c>
      <c r="AP4" t="s">
        <v>154</v>
      </c>
      <c r="AX4" s="21" t="s">
        <v>145</v>
      </c>
      <c r="AY4" t="s">
        <v>165</v>
      </c>
      <c r="BE4" s="21" t="s">
        <v>145</v>
      </c>
      <c r="BF4" t="s">
        <v>154</v>
      </c>
      <c r="BG4" t="s">
        <v>165</v>
      </c>
      <c r="BO4" s="21" t="s">
        <v>145</v>
      </c>
      <c r="BP4" t="s">
        <v>165</v>
      </c>
    </row>
    <row r="5" spans="1:333" x14ac:dyDescent="0.35">
      <c r="A5" s="22" t="s">
        <v>18</v>
      </c>
      <c r="B5" s="24">
        <v>511050</v>
      </c>
      <c r="C5" s="24">
        <v>186410</v>
      </c>
      <c r="G5" s="22" t="s">
        <v>11</v>
      </c>
      <c r="H5" s="20">
        <v>1018</v>
      </c>
      <c r="I5" s="20">
        <v>520</v>
      </c>
      <c r="N5" s="22" t="s">
        <v>149</v>
      </c>
      <c r="O5" s="20">
        <v>278</v>
      </c>
      <c r="U5" s="22" t="s">
        <v>135</v>
      </c>
      <c r="V5" s="20">
        <v>386</v>
      </c>
      <c r="W5" s="20">
        <v>762</v>
      </c>
      <c r="X5" s="20">
        <v>1.9740932642487046</v>
      </c>
      <c r="AD5" s="22" t="s">
        <v>18</v>
      </c>
      <c r="AE5" s="23">
        <v>2.0789473684210527</v>
      </c>
      <c r="AI5" s="22" t="s">
        <v>101</v>
      </c>
      <c r="AJ5" s="20">
        <v>610</v>
      </c>
      <c r="AO5" s="22" t="s">
        <v>178</v>
      </c>
      <c r="AP5" s="20">
        <v>452</v>
      </c>
      <c r="AX5" s="22" t="s">
        <v>155</v>
      </c>
      <c r="AY5" s="20">
        <v>106</v>
      </c>
      <c r="BE5" s="22">
        <v>1400</v>
      </c>
      <c r="BF5" s="20">
        <v>175</v>
      </c>
      <c r="BG5" s="20">
        <v>87</v>
      </c>
      <c r="BO5" s="22" t="s">
        <v>18</v>
      </c>
      <c r="BP5" s="20">
        <v>266</v>
      </c>
    </row>
    <row r="6" spans="1:333" x14ac:dyDescent="0.35">
      <c r="A6" s="22" t="s">
        <v>13</v>
      </c>
      <c r="B6" s="24">
        <v>71100</v>
      </c>
      <c r="C6" s="24">
        <v>25920</v>
      </c>
      <c r="G6" s="22" t="s">
        <v>189</v>
      </c>
      <c r="H6" s="20"/>
      <c r="I6" s="20"/>
      <c r="N6" s="22" t="s">
        <v>150</v>
      </c>
      <c r="O6" s="20">
        <v>228</v>
      </c>
      <c r="U6" s="22" t="s">
        <v>126</v>
      </c>
      <c r="V6" s="20">
        <v>366</v>
      </c>
      <c r="W6" s="20">
        <v>721</v>
      </c>
      <c r="X6" s="20">
        <v>1.9699453551912569</v>
      </c>
      <c r="AD6" s="22" t="s">
        <v>13</v>
      </c>
      <c r="AE6" s="23">
        <v>1.8947368421052631</v>
      </c>
      <c r="AI6" s="22" t="s">
        <v>102</v>
      </c>
      <c r="AJ6" s="20">
        <v>319</v>
      </c>
      <c r="AO6" s="22" t="s">
        <v>179</v>
      </c>
      <c r="AP6" s="20">
        <v>367</v>
      </c>
      <c r="AX6" s="22" t="s">
        <v>156</v>
      </c>
      <c r="AY6" s="20">
        <v>95</v>
      </c>
      <c r="BE6" s="22">
        <v>1100</v>
      </c>
      <c r="BF6" s="20">
        <v>198</v>
      </c>
      <c r="BG6" s="20">
        <v>94</v>
      </c>
      <c r="BO6" s="26" t="s">
        <v>24</v>
      </c>
      <c r="BP6" s="20">
        <v>111</v>
      </c>
    </row>
    <row r="7" spans="1:333" x14ac:dyDescent="0.35">
      <c r="A7" s="22" t="s">
        <v>129</v>
      </c>
      <c r="B7" s="24">
        <v>172060</v>
      </c>
      <c r="C7" s="24">
        <v>62640</v>
      </c>
      <c r="G7" s="22" t="s">
        <v>16</v>
      </c>
      <c r="H7" s="20">
        <v>465</v>
      </c>
      <c r="I7" s="20">
        <v>232</v>
      </c>
      <c r="N7" s="22" t="s">
        <v>151</v>
      </c>
      <c r="O7" s="20">
        <v>101</v>
      </c>
      <c r="U7" s="22" t="s">
        <v>189</v>
      </c>
      <c r="V7" s="20"/>
      <c r="W7" s="20"/>
      <c r="X7" s="20"/>
      <c r="AD7" s="22" t="s">
        <v>39</v>
      </c>
      <c r="AE7" s="23">
        <v>2.1341463414634148</v>
      </c>
      <c r="AI7" s="22" t="s">
        <v>103</v>
      </c>
      <c r="AJ7" s="20">
        <v>237</v>
      </c>
      <c r="AO7" s="22" t="s">
        <v>180</v>
      </c>
      <c r="AP7" s="20">
        <v>664</v>
      </c>
      <c r="AX7" s="22" t="s">
        <v>157</v>
      </c>
      <c r="AY7" s="20">
        <v>112</v>
      </c>
      <c r="BE7" s="22">
        <v>980</v>
      </c>
      <c r="BF7" s="20">
        <v>84</v>
      </c>
      <c r="BG7" s="20">
        <v>53</v>
      </c>
      <c r="BO7" s="26" t="s">
        <v>19</v>
      </c>
      <c r="BP7" s="20">
        <v>69</v>
      </c>
    </row>
    <row r="8" spans="1:333" x14ac:dyDescent="0.35">
      <c r="A8" s="22" t="s">
        <v>9</v>
      </c>
      <c r="B8" s="24">
        <v>331080</v>
      </c>
      <c r="C8" s="24">
        <v>120420</v>
      </c>
      <c r="G8" s="22" t="s">
        <v>146</v>
      </c>
      <c r="H8" s="20">
        <v>1483</v>
      </c>
      <c r="I8" s="20">
        <v>752</v>
      </c>
      <c r="N8" s="22" t="s">
        <v>152</v>
      </c>
      <c r="O8" s="20">
        <v>35</v>
      </c>
      <c r="U8" s="22" t="s">
        <v>146</v>
      </c>
      <c r="V8" s="20">
        <v>752</v>
      </c>
      <c r="W8" s="20">
        <v>1483</v>
      </c>
      <c r="X8" s="20">
        <v>1.9720744680851063</v>
      </c>
      <c r="AD8" s="22" t="s">
        <v>33</v>
      </c>
      <c r="AE8" s="23">
        <v>1.9743589743589745</v>
      </c>
      <c r="AI8" s="22" t="s">
        <v>104</v>
      </c>
      <c r="AJ8" s="20">
        <v>317</v>
      </c>
      <c r="AO8" s="22" t="s">
        <v>146</v>
      </c>
      <c r="AP8" s="20">
        <v>1483</v>
      </c>
      <c r="AX8" s="22" t="s">
        <v>158</v>
      </c>
      <c r="AY8" s="20">
        <v>114</v>
      </c>
      <c r="BE8" s="22">
        <v>950</v>
      </c>
      <c r="BF8" s="20">
        <v>9</v>
      </c>
      <c r="BG8" s="20">
        <v>4</v>
      </c>
      <c r="BO8" s="26" t="s">
        <v>21</v>
      </c>
      <c r="BP8" s="20">
        <v>18</v>
      </c>
    </row>
    <row r="9" spans="1:333" x14ac:dyDescent="0.35">
      <c r="A9" s="22" t="s">
        <v>189</v>
      </c>
      <c r="B9" s="24"/>
      <c r="C9" s="24"/>
      <c r="N9" s="22" t="s">
        <v>153</v>
      </c>
      <c r="O9" s="20">
        <v>110</v>
      </c>
      <c r="AD9" s="22" t="s">
        <v>129</v>
      </c>
      <c r="AE9" s="23">
        <v>1.8645833333333333</v>
      </c>
      <c r="AI9" s="22" t="s">
        <v>146</v>
      </c>
      <c r="AJ9" s="20">
        <v>1483</v>
      </c>
      <c r="AX9" s="22" t="s">
        <v>159</v>
      </c>
      <c r="AY9" s="20">
        <v>102</v>
      </c>
      <c r="BE9" s="22">
        <v>920</v>
      </c>
      <c r="BF9" s="20">
        <v>235</v>
      </c>
      <c r="BG9" s="20">
        <v>119</v>
      </c>
      <c r="BO9" s="26" t="s">
        <v>35</v>
      </c>
      <c r="BP9" s="20">
        <v>61</v>
      </c>
    </row>
    <row r="10" spans="1:333" x14ac:dyDescent="0.35">
      <c r="A10" s="22" t="s">
        <v>39</v>
      </c>
      <c r="B10" s="24">
        <v>175860</v>
      </c>
      <c r="C10" s="24">
        <v>63750</v>
      </c>
      <c r="N10" s="22" t="s">
        <v>189</v>
      </c>
      <c r="O10" s="20"/>
      <c r="AD10" s="22" t="s">
        <v>9</v>
      </c>
      <c r="AE10" s="23">
        <v>1.8229166666666667</v>
      </c>
      <c r="AX10" s="22" t="s">
        <v>160</v>
      </c>
      <c r="AY10" s="20">
        <v>113</v>
      </c>
      <c r="BE10" s="22">
        <v>850</v>
      </c>
      <c r="BF10" s="20">
        <v>342</v>
      </c>
      <c r="BG10" s="20">
        <v>177</v>
      </c>
      <c r="BO10" s="26" t="s">
        <v>63</v>
      </c>
      <c r="BP10" s="20">
        <v>7</v>
      </c>
    </row>
    <row r="11" spans="1:333" x14ac:dyDescent="0.35">
      <c r="A11" s="22" t="s">
        <v>33</v>
      </c>
      <c r="B11" s="24">
        <v>148350</v>
      </c>
      <c r="C11" s="24">
        <v>54320</v>
      </c>
      <c r="N11" s="22" t="s">
        <v>146</v>
      </c>
      <c r="O11" s="20">
        <v>752</v>
      </c>
      <c r="AD11" s="22" t="s">
        <v>189</v>
      </c>
      <c r="AE11" s="23"/>
      <c r="AX11" s="22" t="s">
        <v>161</v>
      </c>
      <c r="AY11" s="20">
        <v>110</v>
      </c>
      <c r="BE11" s="22">
        <v>840</v>
      </c>
      <c r="BF11" s="20">
        <v>141</v>
      </c>
      <c r="BG11" s="20">
        <v>65</v>
      </c>
      <c r="BO11" s="22" t="s">
        <v>13</v>
      </c>
      <c r="BP11" s="20">
        <v>38</v>
      </c>
    </row>
    <row r="12" spans="1:333" x14ac:dyDescent="0.35">
      <c r="A12" s="22" t="s">
        <v>146</v>
      </c>
      <c r="B12" s="24">
        <v>1409500</v>
      </c>
      <c r="C12" s="24">
        <v>513460</v>
      </c>
      <c r="AD12" s="22" t="s">
        <v>146</v>
      </c>
      <c r="AE12" s="23">
        <v>1.9720744680851063</v>
      </c>
      <c r="AX12" s="22" t="s">
        <v>146</v>
      </c>
      <c r="AY12" s="20">
        <v>752</v>
      </c>
      <c r="BE12" s="22">
        <v>800</v>
      </c>
      <c r="BF12" s="20">
        <v>176</v>
      </c>
      <c r="BG12" s="20">
        <v>98</v>
      </c>
      <c r="BO12" s="22" t="s">
        <v>129</v>
      </c>
      <c r="BP12" s="20">
        <v>96</v>
      </c>
    </row>
    <row r="13" spans="1:333" x14ac:dyDescent="0.35">
      <c r="H13" s="21" t="s">
        <v>145</v>
      </c>
      <c r="I13" t="s">
        <v>147</v>
      </c>
      <c r="BE13" s="22">
        <v>760</v>
      </c>
      <c r="BF13" s="20">
        <v>51</v>
      </c>
      <c r="BG13" s="20">
        <v>23</v>
      </c>
      <c r="BO13" s="22" t="s">
        <v>9</v>
      </c>
      <c r="BP13" s="20">
        <v>192</v>
      </c>
    </row>
    <row r="14" spans="1:333" x14ac:dyDescent="0.35">
      <c r="H14" s="22" t="s">
        <v>17</v>
      </c>
      <c r="I14" s="20">
        <v>71400</v>
      </c>
      <c r="BE14" s="22">
        <v>720</v>
      </c>
      <c r="BF14" s="20">
        <v>59</v>
      </c>
      <c r="BG14" s="20">
        <v>26</v>
      </c>
      <c r="BO14" s="22" t="s">
        <v>189</v>
      </c>
      <c r="BP14" s="20"/>
    </row>
    <row r="15" spans="1:333" x14ac:dyDescent="0.35">
      <c r="H15" s="22" t="s">
        <v>22</v>
      </c>
      <c r="I15" s="20">
        <v>53550</v>
      </c>
      <c r="BE15" s="22">
        <v>650</v>
      </c>
      <c r="BF15" s="20">
        <v>13</v>
      </c>
      <c r="BG15" s="20">
        <v>6</v>
      </c>
      <c r="BO15" s="22" t="s">
        <v>39</v>
      </c>
      <c r="BP15" s="20">
        <v>82</v>
      </c>
    </row>
    <row r="16" spans="1:333" x14ac:dyDescent="0.35">
      <c r="H16" s="22" t="s">
        <v>43</v>
      </c>
      <c r="I16" s="20">
        <v>64400</v>
      </c>
      <c r="BE16" s="22" t="s">
        <v>146</v>
      </c>
      <c r="BF16" s="20">
        <v>1483</v>
      </c>
      <c r="BG16" s="20">
        <v>752</v>
      </c>
      <c r="BO16" s="26" t="s">
        <v>133</v>
      </c>
      <c r="BP16" s="20">
        <v>1</v>
      </c>
    </row>
    <row r="17" spans="8:68" x14ac:dyDescent="0.35">
      <c r="H17" s="22" t="s">
        <v>46</v>
      </c>
      <c r="I17" s="20">
        <v>55200</v>
      </c>
      <c r="BO17" s="26" t="s">
        <v>79</v>
      </c>
      <c r="BP17" s="20">
        <v>7</v>
      </c>
    </row>
    <row r="18" spans="8:68" x14ac:dyDescent="0.35">
      <c r="H18" s="22" t="s">
        <v>32</v>
      </c>
      <c r="I18" s="20">
        <v>101200</v>
      </c>
      <c r="BO18" s="26" t="s">
        <v>96</v>
      </c>
      <c r="BP18" s="20">
        <v>1</v>
      </c>
    </row>
    <row r="19" spans="8:68" x14ac:dyDescent="0.35">
      <c r="BO19" s="26" t="s">
        <v>40</v>
      </c>
      <c r="BP19" s="20">
        <v>8</v>
      </c>
    </row>
    <row r="20" spans="8:68" x14ac:dyDescent="0.35">
      <c r="BO20" s="26" t="s">
        <v>57</v>
      </c>
      <c r="BP20" s="20">
        <v>1</v>
      </c>
    </row>
    <row r="21" spans="8:68" x14ac:dyDescent="0.35">
      <c r="BO21" s="26" t="s">
        <v>82</v>
      </c>
      <c r="BP21" s="20">
        <v>2</v>
      </c>
    </row>
    <row r="22" spans="8:68" x14ac:dyDescent="0.35">
      <c r="BO22" s="26" t="s">
        <v>131</v>
      </c>
      <c r="BP22" s="20">
        <v>4</v>
      </c>
    </row>
    <row r="23" spans="8:68" x14ac:dyDescent="0.35">
      <c r="BO23" s="26" t="s">
        <v>42</v>
      </c>
      <c r="BP23" s="20">
        <v>12</v>
      </c>
    </row>
    <row r="24" spans="8:68" x14ac:dyDescent="0.35">
      <c r="BO24" s="26" t="s">
        <v>99</v>
      </c>
      <c r="BP24" s="20">
        <v>1</v>
      </c>
    </row>
    <row r="25" spans="8:68" x14ac:dyDescent="0.35">
      <c r="BO25" s="26" t="s">
        <v>80</v>
      </c>
      <c r="BP25" s="20">
        <v>23</v>
      </c>
    </row>
    <row r="26" spans="8:68" x14ac:dyDescent="0.35">
      <c r="BO26" s="26" t="s">
        <v>130</v>
      </c>
      <c r="BP26" s="20">
        <v>2</v>
      </c>
    </row>
    <row r="27" spans="8:68" x14ac:dyDescent="0.35">
      <c r="BO27" s="26" t="s">
        <v>76</v>
      </c>
      <c r="BP27" s="20">
        <v>14</v>
      </c>
    </row>
    <row r="28" spans="8:68" x14ac:dyDescent="0.35">
      <c r="BO28" s="26" t="s">
        <v>132</v>
      </c>
      <c r="BP28" s="20">
        <v>2</v>
      </c>
    </row>
    <row r="29" spans="8:68" x14ac:dyDescent="0.35">
      <c r="BO29" s="26" t="s">
        <v>134</v>
      </c>
      <c r="BP29" s="20">
        <v>1</v>
      </c>
    </row>
    <row r="30" spans="8:68" x14ac:dyDescent="0.35">
      <c r="BO30" s="26" t="s">
        <v>92</v>
      </c>
      <c r="BP30" s="20">
        <v>3</v>
      </c>
    </row>
    <row r="31" spans="8:68" x14ac:dyDescent="0.35">
      <c r="BO31" s="22" t="s">
        <v>33</v>
      </c>
      <c r="BP31" s="20">
        <v>78</v>
      </c>
    </row>
    <row r="32" spans="8:68" x14ac:dyDescent="0.35">
      <c r="BO32" s="26" t="s">
        <v>61</v>
      </c>
      <c r="BP32" s="20">
        <v>8</v>
      </c>
    </row>
    <row r="33" spans="67:68" x14ac:dyDescent="0.35">
      <c r="BO33" s="26" t="s">
        <v>90</v>
      </c>
      <c r="BP33" s="20">
        <v>1</v>
      </c>
    </row>
    <row r="34" spans="67:68" x14ac:dyDescent="0.35">
      <c r="BO34" s="26" t="s">
        <v>128</v>
      </c>
      <c r="BP34" s="20">
        <v>12</v>
      </c>
    </row>
    <row r="35" spans="67:68" x14ac:dyDescent="0.35">
      <c r="BO35" s="26" t="s">
        <v>73</v>
      </c>
      <c r="BP35" s="20">
        <v>25</v>
      </c>
    </row>
    <row r="36" spans="67:68" x14ac:dyDescent="0.35">
      <c r="BO36" s="26" t="s">
        <v>136</v>
      </c>
      <c r="BP36" s="20">
        <v>16</v>
      </c>
    </row>
    <row r="37" spans="67:68" x14ac:dyDescent="0.35">
      <c r="BO37" s="26" t="s">
        <v>56</v>
      </c>
      <c r="BP37" s="20">
        <v>16</v>
      </c>
    </row>
    <row r="38" spans="67:68" x14ac:dyDescent="0.35">
      <c r="BO38" s="22" t="s">
        <v>146</v>
      </c>
      <c r="BP38" s="20">
        <v>752</v>
      </c>
    </row>
  </sheetData>
  <pageMargins left="0.7" right="0.7" top="0.75" bottom="0.75" header="0.3" footer="0.3"/>
  <drawing r:id="rId1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98F9F34832A35489A19D5E200F54CC8" ma:contentTypeVersion="17" ma:contentTypeDescription="Create a new document." ma:contentTypeScope="" ma:versionID="4667fbbc43b4318bb111874a548e13d5">
  <xsd:schema xmlns:xsd="http://www.w3.org/2001/XMLSchema" xmlns:xs="http://www.w3.org/2001/XMLSchema" xmlns:p="http://schemas.microsoft.com/office/2006/metadata/properties" xmlns:ns2="6cf0ffbd-cd96-4ba4-bd4f-bd34e8409846" xmlns:ns3="ef7ae401-bd17-41a5-97cb-ef653218410e" targetNamespace="http://schemas.microsoft.com/office/2006/metadata/properties" ma:root="true" ma:fieldsID="750e449e756990df47b00428a15370bb" ns2:_="" ns3:_="">
    <xsd:import namespace="6cf0ffbd-cd96-4ba4-bd4f-bd34e8409846"/>
    <xsd:import namespace="ef7ae401-bd17-41a5-97cb-ef653218410e"/>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MediaLengthInSeconds" minOccurs="0"/>
                <xsd:element ref="ns3:TaxCatchAll"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f0ffbd-cd96-4ba4-bd4f-bd34e84098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10261dd-85c0-4e16-8580-30375acfae1f"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f7ae401-bd17-41a5-97cb-ef653218410e"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caefe5af-a435-4393-a14b-6f721e236a53}" ma:internalName="TaxCatchAll" ma:showField="CatchAllData" ma:web="ef7ae401-bd17-41a5-97cb-ef65321841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cf0ffbd-cd96-4ba4-bd4f-bd34e8409846">
      <Terms xmlns="http://schemas.microsoft.com/office/infopath/2007/PartnerControls"/>
    </lcf76f155ced4ddcb4097134ff3c332f>
    <TaxCatchAll xmlns="ef7ae401-bd17-41a5-97cb-ef653218410e" xsi:nil="true"/>
    <SharedWithUsers xmlns="ef7ae401-bd17-41a5-97cb-ef653218410e">
      <UserInfo>
        <DisplayName/>
        <AccountId xsi:nil="true"/>
        <AccountType/>
      </UserInfo>
    </SharedWithUsers>
    <MediaLengthInSeconds xmlns="6cf0ffbd-cd96-4ba4-bd4f-bd34e8409846" xsi:nil="true"/>
  </documentManagement>
</p:properties>
</file>

<file path=customXml/itemProps1.xml><?xml version="1.0" encoding="utf-8"?>
<ds:datastoreItem xmlns:ds="http://schemas.openxmlformats.org/officeDocument/2006/customXml" ds:itemID="{A900DD95-F73B-4B39-8857-9098CC047F7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cf0ffbd-cd96-4ba4-bd4f-bd34e8409846"/>
    <ds:schemaRef ds:uri="ef7ae401-bd17-41a5-97cb-ef65321841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242AA92-E566-4AF8-94A8-2BEC20A47D3F}">
  <ds:schemaRefs>
    <ds:schemaRef ds:uri="http://schemas.microsoft.com/sharepoint/v3/contenttype/forms"/>
  </ds:schemaRefs>
</ds:datastoreItem>
</file>

<file path=customXml/itemProps3.xml><?xml version="1.0" encoding="utf-8"?>
<ds:datastoreItem xmlns:ds="http://schemas.openxmlformats.org/officeDocument/2006/customXml" ds:itemID="{D8CF564F-6B15-42F4-AEFB-2DE8873F5922}">
  <ds:schemaRefs>
    <ds:schemaRef ds:uri="http://schemas.microsoft.com/office/2006/metadata/properties"/>
    <ds:schemaRef ds:uri="http://schemas.microsoft.com/office/infopath/2007/PartnerControls"/>
    <ds:schemaRef ds:uri="6cf0ffbd-cd96-4ba4-bd4f-bd34e8409846"/>
    <ds:schemaRef ds:uri="ef7ae401-bd17-41a5-97cb-ef65321841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Info</vt:lpstr>
      <vt:lpstr>Sales Data</vt:lpstr>
      <vt:lpstr> Dashboard</vt:lpstr>
      <vt:lpstr>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Pickard, John</dc:creator>
  <cp:keywords/>
  <dc:description/>
  <cp:lastModifiedBy>Donia Khaled</cp:lastModifiedBy>
  <cp:revision/>
  <dcterms:created xsi:type="dcterms:W3CDTF">2022-06-17T21:28:41Z</dcterms:created>
  <dcterms:modified xsi:type="dcterms:W3CDTF">2026-08-15T14:15:08Z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0x010100198F9F34832A35489A19D5E200F54CC8</vt:lpwstr>
  </property>
  <property fmtid="{D5CDD505-2E9C-101B-9397-08002B2CF9AE}" pid="3" name="Order">
    <vt:r8>2366100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ies>
</file>